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\\wsl.localhost\Ubuntu-24.04\home\jairsantos\projects\relatorio\templates\"/>
    </mc:Choice>
  </mc:AlternateContent>
  <workbookProtection lockStructure="1"/>
  <bookViews>
    <workbookView xWindow="0" yWindow="0" windowWidth="17976" windowHeight="6624"/>
  </bookViews>
  <sheets>
    <sheet name="DENS" sheetId="11" r:id="rId1"/>
    <sheet name="CBR" sheetId="12" r:id="rId2"/>
    <sheet name="Calc" sheetId="7" state="hidden" r:id="rId3"/>
  </sheets>
  <externalReferences>
    <externalReference r:id="rId4"/>
  </externalReferences>
  <definedNames>
    <definedName name="_xlnm.Print_Area" localSheetId="1">CBR!$B$2:$P$73</definedName>
    <definedName name="_xlnm.Print_Area" localSheetId="0">DENS!$B$2:$N$63</definedName>
    <definedName name="DENS_MAX" localSheetId="0">DENS!$N$23:$N$27</definedName>
    <definedName name="DENS_MAX">#REF!</definedName>
    <definedName name="DENSIDADE">[1]DENS1!$M$21:$M$26</definedName>
    <definedName name="Retido" localSheetId="0">#REF!</definedName>
    <definedName name="Retido">#REF!</definedName>
  </definedNames>
  <calcPr calcId="162913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9" i="12" l="1"/>
  <c r="P16" i="12"/>
  <c r="O16" i="12"/>
  <c r="P15" i="12"/>
  <c r="O15" i="12"/>
  <c r="L24" i="11"/>
  <c r="L25" i="11"/>
  <c r="L26" i="11"/>
  <c r="L27" i="11"/>
  <c r="L23" i="11"/>
  <c r="M23" i="11" s="1"/>
  <c r="P17" i="12" l="1"/>
  <c r="P18" i="12" s="1"/>
  <c r="O17" i="12"/>
  <c r="O18" i="12" s="1"/>
  <c r="M21" i="12" s="1"/>
  <c r="M22" i="12" s="1"/>
  <c r="P51" i="12"/>
  <c r="M24" i="11"/>
  <c r="M25" i="11"/>
  <c r="M53" i="11" s="1"/>
  <c r="M26" i="11"/>
  <c r="M27" i="11"/>
  <c r="G27" i="11"/>
  <c r="H27" i="11"/>
  <c r="G24" i="11"/>
  <c r="H24" i="11"/>
  <c r="G25" i="11"/>
  <c r="H25" i="11"/>
  <c r="G26" i="11"/>
  <c r="H26" i="11"/>
  <c r="G23" i="11"/>
  <c r="H23" i="11"/>
  <c r="F22" i="12" l="1"/>
  <c r="N27" i="11"/>
  <c r="F4" i="12"/>
  <c r="P33" i="12"/>
  <c r="N23" i="11"/>
  <c r="G15" i="11"/>
  <c r="G16" i="11" l="1"/>
  <c r="G17" i="11" s="1"/>
  <c r="B4" i="12"/>
  <c r="L8" i="12" l="1"/>
  <c r="H8" i="12"/>
  <c r="B6" i="12"/>
  <c r="I6" i="12"/>
  <c r="M6" i="12"/>
  <c r="O6" i="12"/>
  <c r="L4" i="12"/>
  <c r="O22" i="12" l="1"/>
  <c r="B8" i="12" l="1"/>
  <c r="F3" i="12"/>
  <c r="B3" i="12"/>
  <c r="B5" i="12"/>
  <c r="L29" i="12"/>
  <c r="L31" i="12" s="1"/>
  <c r="L33" i="12" s="1"/>
  <c r="G33" i="12" l="1"/>
  <c r="N24" i="11" l="1"/>
  <c r="N25" i="11"/>
  <c r="M46" i="11" s="1"/>
  <c r="N26" i="11"/>
  <c r="P56" i="12"/>
  <c r="H37" i="12"/>
  <c r="P27" i="12"/>
  <c r="H38" i="12"/>
  <c r="H40" i="12"/>
  <c r="H41" i="12"/>
  <c r="H42" i="12"/>
  <c r="G37" i="12"/>
  <c r="G38" i="12"/>
  <c r="G39" i="12"/>
  <c r="G40" i="12"/>
  <c r="G42" i="12"/>
  <c r="F32" i="11"/>
  <c r="I18" i="7"/>
  <c r="N18" i="7" s="1"/>
  <c r="I19" i="7"/>
  <c r="N19" i="7" s="1"/>
  <c r="I20" i="7"/>
  <c r="N20" i="7" s="1"/>
  <c r="I21" i="7"/>
  <c r="N21" i="7" s="1"/>
  <c r="I22" i="7"/>
  <c r="N22" i="7" s="1"/>
  <c r="J34" i="12" l="1"/>
  <c r="P24" i="12" s="1"/>
  <c r="H14" i="7"/>
  <c r="G13" i="7"/>
  <c r="N23" i="7"/>
  <c r="J35" i="7" s="1"/>
  <c r="J41" i="7" s="1"/>
  <c r="F34" i="12"/>
  <c r="H39" i="12"/>
  <c r="E14" i="7"/>
  <c r="E13" i="7"/>
  <c r="P58" i="12"/>
  <c r="F13" i="7"/>
  <c r="H13" i="7"/>
  <c r="F20" i="12" l="1"/>
  <c r="D14" i="7"/>
  <c r="D13" i="7"/>
  <c r="K147" i="7" s="1"/>
  <c r="J47" i="7"/>
  <c r="J59" i="7"/>
  <c r="K150" i="7"/>
  <c r="B35" i="11" s="1"/>
  <c r="G93" i="7"/>
  <c r="F98" i="7" s="1"/>
  <c r="C21" i="7"/>
  <c r="G21" i="7" s="1"/>
  <c r="G14" i="7"/>
  <c r="D21" i="7" s="1"/>
  <c r="AC21" i="7" s="1"/>
  <c r="J53" i="7"/>
  <c r="D19" i="7"/>
  <c r="AC19" i="7" s="1"/>
  <c r="L148" i="7"/>
  <c r="C33" i="11" s="1"/>
  <c r="D22" i="7"/>
  <c r="L151" i="7"/>
  <c r="C36" i="11" s="1"/>
  <c r="F14" i="7"/>
  <c r="C22" i="7"/>
  <c r="K151" i="7"/>
  <c r="B36" i="11" s="1"/>
  <c r="K149" i="7"/>
  <c r="B34" i="11" s="1"/>
  <c r="C20" i="7"/>
  <c r="F93" i="7"/>
  <c r="E98" i="7" s="1"/>
  <c r="C19" i="7"/>
  <c r="K148" i="7"/>
  <c r="B33" i="11" s="1"/>
  <c r="D18" i="7" l="1"/>
  <c r="AC18" i="7" s="1"/>
  <c r="L147" i="7"/>
  <c r="C32" i="11" s="1"/>
  <c r="C18" i="7"/>
  <c r="H18" i="7" s="1"/>
  <c r="I98" i="7"/>
  <c r="H21" i="7"/>
  <c r="V21" i="7" s="1"/>
  <c r="E21" i="7"/>
  <c r="Y21" i="7" s="1"/>
  <c r="F21" i="7"/>
  <c r="U21" i="7" s="1"/>
  <c r="L150" i="7"/>
  <c r="C35" i="11" s="1"/>
  <c r="G22" i="7"/>
  <c r="F22" i="7"/>
  <c r="Z22" i="7" s="1"/>
  <c r="E22" i="7"/>
  <c r="H22" i="7"/>
  <c r="H19" i="7"/>
  <c r="E19" i="7"/>
  <c r="F19" i="7"/>
  <c r="G19" i="7"/>
  <c r="E20" i="7"/>
  <c r="F20" i="7"/>
  <c r="H20" i="7"/>
  <c r="G20" i="7"/>
  <c r="K98" i="7"/>
  <c r="L149" i="7"/>
  <c r="C34" i="11" s="1"/>
  <c r="D20" i="7"/>
  <c r="AC22" i="7"/>
  <c r="H147" i="7"/>
  <c r="H32" i="11" s="1"/>
  <c r="B32" i="11"/>
  <c r="L21" i="7"/>
  <c r="AA21" i="7"/>
  <c r="W21" i="7"/>
  <c r="AB21" i="7" l="1"/>
  <c r="X21" i="7"/>
  <c r="E18" i="7"/>
  <c r="Y18" i="7" s="1"/>
  <c r="M21" i="7"/>
  <c r="G18" i="7"/>
  <c r="L18" i="7" s="1"/>
  <c r="F18" i="7"/>
  <c r="Z18" i="7" s="1"/>
  <c r="P21" i="7"/>
  <c r="J21" i="7"/>
  <c r="R21" i="7"/>
  <c r="S21" i="7"/>
  <c r="Q21" i="7"/>
  <c r="K21" i="7"/>
  <c r="O21" i="7"/>
  <c r="T21" i="7"/>
  <c r="Z21" i="7"/>
  <c r="W20" i="7"/>
  <c r="V20" i="7"/>
  <c r="AA20" i="7"/>
  <c r="L20" i="7"/>
  <c r="S20" i="7"/>
  <c r="T20" i="7"/>
  <c r="U20" i="7"/>
  <c r="K20" i="7"/>
  <c r="AA19" i="7"/>
  <c r="V19" i="7"/>
  <c r="W19" i="7"/>
  <c r="L19" i="7"/>
  <c r="O19" i="7"/>
  <c r="J19" i="7"/>
  <c r="R19" i="7"/>
  <c r="P19" i="7"/>
  <c r="Y19" i="7"/>
  <c r="Q19" i="7"/>
  <c r="M22" i="7"/>
  <c r="AB22" i="7"/>
  <c r="X22" i="7"/>
  <c r="T22" i="7"/>
  <c r="U22" i="7"/>
  <c r="K22" i="7"/>
  <c r="S22" i="7"/>
  <c r="AC20" i="7"/>
  <c r="AC23" i="7" s="1"/>
  <c r="N35" i="7" s="1"/>
  <c r="Z20" i="7"/>
  <c r="M20" i="7"/>
  <c r="AB20" i="7"/>
  <c r="X20" i="7"/>
  <c r="P20" i="7"/>
  <c r="O20" i="7"/>
  <c r="R20" i="7"/>
  <c r="Q20" i="7"/>
  <c r="Y20" i="7"/>
  <c r="J20" i="7"/>
  <c r="M18" i="7"/>
  <c r="X18" i="7"/>
  <c r="AB18" i="7"/>
  <c r="S19" i="7"/>
  <c r="T19" i="7"/>
  <c r="K19" i="7"/>
  <c r="U19" i="7"/>
  <c r="Z19" i="7"/>
  <c r="M19" i="7"/>
  <c r="X19" i="7"/>
  <c r="AB19" i="7"/>
  <c r="J22" i="7"/>
  <c r="P22" i="7"/>
  <c r="O22" i="7"/>
  <c r="R22" i="7"/>
  <c r="Y22" i="7"/>
  <c r="Q22" i="7"/>
  <c r="L22" i="7"/>
  <c r="W22" i="7"/>
  <c r="V22" i="7"/>
  <c r="AA22" i="7"/>
  <c r="W18" i="7" l="1"/>
  <c r="AA18" i="7"/>
  <c r="AA23" i="7" s="1"/>
  <c r="N33" i="7" s="1"/>
  <c r="V18" i="7"/>
  <c r="V23" i="7" s="1"/>
  <c r="O18" i="7"/>
  <c r="O23" i="7" s="1"/>
  <c r="T18" i="7"/>
  <c r="T23" i="7" s="1"/>
  <c r="K18" i="7"/>
  <c r="K23" i="7" s="1"/>
  <c r="G32" i="7" s="1"/>
  <c r="R18" i="7"/>
  <c r="R23" i="7" s="1"/>
  <c r="J18" i="7"/>
  <c r="J23" i="7" s="1"/>
  <c r="F31" i="7" s="1"/>
  <c r="P18" i="7"/>
  <c r="P23" i="7" s="1"/>
  <c r="Q18" i="7"/>
  <c r="Q23" i="7" s="1"/>
  <c r="S18" i="7"/>
  <c r="S23" i="7" s="1"/>
  <c r="U18" i="7"/>
  <c r="U23" i="7" s="1"/>
  <c r="Z23" i="7"/>
  <c r="N32" i="7" s="1"/>
  <c r="J62" i="7" s="1"/>
  <c r="L23" i="7"/>
  <c r="H33" i="7" s="1"/>
  <c r="H45" i="7" s="1"/>
  <c r="M23" i="7"/>
  <c r="I34" i="7" s="1"/>
  <c r="X23" i="7"/>
  <c r="AB23" i="7"/>
  <c r="N34" i="7" s="1"/>
  <c r="I59" i="7"/>
  <c r="F41" i="7"/>
  <c r="H53" i="7"/>
  <c r="G47" i="7"/>
  <c r="J65" i="7"/>
  <c r="Y23" i="7"/>
  <c r="N31" i="7" s="1"/>
  <c r="W23" i="7" l="1"/>
  <c r="G44" i="7"/>
  <c r="I56" i="7"/>
  <c r="H50" i="7"/>
  <c r="F38" i="7"/>
  <c r="H57" i="7"/>
  <c r="H39" i="7"/>
  <c r="H63" i="7"/>
  <c r="G33" i="7"/>
  <c r="H32" i="7"/>
  <c r="H31" i="7"/>
  <c r="F33" i="7"/>
  <c r="I31" i="7"/>
  <c r="F34" i="7"/>
  <c r="I32" i="7"/>
  <c r="G34" i="7"/>
  <c r="H51" i="7"/>
  <c r="J63" i="7"/>
  <c r="F39" i="7"/>
  <c r="G45" i="7"/>
  <c r="I57" i="7"/>
  <c r="F35" i="7"/>
  <c r="J31" i="7"/>
  <c r="F61" i="7"/>
  <c r="F49" i="7"/>
  <c r="F43" i="7"/>
  <c r="F55" i="7"/>
  <c r="J32" i="7"/>
  <c r="G35" i="7"/>
  <c r="H34" i="7"/>
  <c r="I33" i="7"/>
  <c r="I40" i="7"/>
  <c r="I46" i="7"/>
  <c r="I64" i="7"/>
  <c r="I52" i="7"/>
  <c r="G43" i="7"/>
  <c r="F37" i="7"/>
  <c r="J61" i="7"/>
  <c r="I55" i="7"/>
  <c r="H49" i="7"/>
  <c r="H52" i="7"/>
  <c r="G46" i="7"/>
  <c r="F40" i="7"/>
  <c r="I58" i="7"/>
  <c r="J64" i="7"/>
  <c r="F32" i="7"/>
  <c r="G31" i="7"/>
  <c r="G56" i="7"/>
  <c r="G38" i="7"/>
  <c r="G62" i="7"/>
  <c r="G50" i="7"/>
  <c r="I35" i="7"/>
  <c r="J34" i="7"/>
  <c r="H35" i="7" l="1"/>
  <c r="J33" i="7"/>
  <c r="F68" i="7"/>
  <c r="I51" i="7"/>
  <c r="I63" i="7"/>
  <c r="I45" i="7"/>
  <c r="I39" i="7"/>
  <c r="G53" i="7"/>
  <c r="G59" i="7"/>
  <c r="G65" i="7"/>
  <c r="G41" i="7"/>
  <c r="F53" i="7"/>
  <c r="F59" i="7"/>
  <c r="F47" i="7"/>
  <c r="F65" i="7"/>
  <c r="G52" i="7"/>
  <c r="G40" i="7"/>
  <c r="G64" i="7"/>
  <c r="G58" i="7"/>
  <c r="F64" i="7"/>
  <c r="F58" i="7"/>
  <c r="F46" i="7"/>
  <c r="F52" i="7"/>
  <c r="F45" i="7"/>
  <c r="F63" i="7"/>
  <c r="F57" i="7"/>
  <c r="F51" i="7"/>
  <c r="H38" i="7"/>
  <c r="H44" i="7"/>
  <c r="H62" i="7"/>
  <c r="H56" i="7"/>
  <c r="J40" i="7"/>
  <c r="J46" i="7"/>
  <c r="J52" i="7"/>
  <c r="J58" i="7"/>
  <c r="G61" i="7"/>
  <c r="G55" i="7"/>
  <c r="G37" i="7"/>
  <c r="G49" i="7"/>
  <c r="I41" i="7"/>
  <c r="I47" i="7"/>
  <c r="I53" i="7"/>
  <c r="I65" i="7"/>
  <c r="F56" i="7"/>
  <c r="F50" i="7"/>
  <c r="F62" i="7"/>
  <c r="F44" i="7"/>
  <c r="H58" i="7"/>
  <c r="H64" i="7"/>
  <c r="H40" i="7"/>
  <c r="H46" i="7"/>
  <c r="J56" i="7"/>
  <c r="J38" i="7"/>
  <c r="J50" i="7"/>
  <c r="J44" i="7"/>
  <c r="J37" i="7"/>
  <c r="J49" i="7"/>
  <c r="J55" i="7"/>
  <c r="J43" i="7"/>
  <c r="I38" i="7"/>
  <c r="I44" i="7"/>
  <c r="I50" i="7"/>
  <c r="I62" i="7"/>
  <c r="I43" i="7"/>
  <c r="I49" i="7"/>
  <c r="I61" i="7"/>
  <c r="I37" i="7"/>
  <c r="H61" i="7"/>
  <c r="H37" i="7"/>
  <c r="H43" i="7"/>
  <c r="H55" i="7"/>
  <c r="G57" i="7"/>
  <c r="G63" i="7"/>
  <c r="G39" i="7"/>
  <c r="G51" i="7"/>
  <c r="H59" i="7" l="1"/>
  <c r="H47" i="7"/>
  <c r="J57" i="7"/>
  <c r="J39" i="7"/>
  <c r="H65" i="7"/>
  <c r="H41" i="7"/>
  <c r="J45" i="7"/>
  <c r="J51" i="7"/>
  <c r="F70" i="7"/>
  <c r="I70" i="7" s="1"/>
  <c r="G79" i="7" s="1"/>
  <c r="G83" i="7" s="1"/>
  <c r="F73" i="7"/>
  <c r="I73" i="7" s="1"/>
  <c r="M79" i="7" s="1"/>
  <c r="F69" i="7"/>
  <c r="I69" i="7" s="1"/>
  <c r="E79" i="7" s="1"/>
  <c r="E83" i="7" s="1"/>
  <c r="F71" i="7"/>
  <c r="I71" i="7" s="1"/>
  <c r="I79" i="7" s="1"/>
  <c r="I83" i="7" s="1"/>
  <c r="F72" i="7"/>
  <c r="I72" i="7" s="1"/>
  <c r="K79" i="7" s="1"/>
  <c r="K83" i="7" s="1"/>
  <c r="G98" i="7" l="1"/>
  <c r="H98" i="7"/>
  <c r="J98" i="7"/>
  <c r="F99" i="7" l="1"/>
  <c r="E99" i="7"/>
  <c r="I99" i="7" l="1"/>
  <c r="J99" i="7" s="1"/>
  <c r="G99" i="7"/>
  <c r="K99" i="7"/>
  <c r="H99" i="7"/>
  <c r="F100" i="7" l="1"/>
  <c r="H100" i="7" s="1"/>
  <c r="E100" i="7"/>
  <c r="I100" i="7" l="1"/>
  <c r="J100" i="7" s="1"/>
  <c r="F101" i="7" s="1"/>
  <c r="G100" i="7"/>
  <c r="K100" i="7"/>
  <c r="H101" i="7" l="1"/>
  <c r="E101" i="7"/>
  <c r="I101" i="7" l="1"/>
  <c r="J101" i="7" s="1"/>
  <c r="F102" i="7" s="1"/>
  <c r="G101" i="7"/>
  <c r="K101" i="7"/>
  <c r="E102" i="7" l="1"/>
  <c r="K102" i="7" s="1"/>
  <c r="H102" i="7"/>
  <c r="G102" i="7" l="1"/>
  <c r="I102" i="7"/>
  <c r="J102" i="7" s="1"/>
  <c r="F103" i="7" s="1"/>
  <c r="E103" i="7" l="1"/>
  <c r="I103" i="7" s="1"/>
  <c r="J103" i="7" s="1"/>
  <c r="H103" i="7"/>
  <c r="G103" i="7" l="1"/>
  <c r="E104" i="7" s="1"/>
  <c r="K103" i="7"/>
  <c r="F104" i="7"/>
  <c r="I104" i="7" l="1"/>
  <c r="J104" i="7" s="1"/>
  <c r="G104" i="7"/>
  <c r="K104" i="7"/>
  <c r="H104" i="7"/>
  <c r="F105" i="7" l="1"/>
  <c r="H105" i="7" s="1"/>
  <c r="E105" i="7"/>
  <c r="I105" i="7" l="1"/>
  <c r="J105" i="7" s="1"/>
  <c r="F106" i="7" s="1"/>
  <c r="G105" i="7"/>
  <c r="K105" i="7"/>
  <c r="H106" i="7" l="1"/>
  <c r="E106" i="7"/>
  <c r="I106" i="7" l="1"/>
  <c r="J106" i="7" s="1"/>
  <c r="F107" i="7" s="1"/>
  <c r="G106" i="7"/>
  <c r="K106" i="7"/>
  <c r="H107" i="7" l="1"/>
  <c r="E107" i="7"/>
  <c r="I107" i="7" l="1"/>
  <c r="J107" i="7" s="1"/>
  <c r="F108" i="7" s="1"/>
  <c r="G107" i="7"/>
  <c r="K107" i="7"/>
  <c r="E108" i="7" l="1"/>
  <c r="K108" i="7" s="1"/>
  <c r="H108" i="7"/>
  <c r="I108" i="7" l="1"/>
  <c r="J108" i="7" s="1"/>
  <c r="F109" i="7" s="1"/>
  <c r="G108" i="7"/>
  <c r="E109" i="7" l="1"/>
  <c r="K109" i="7" s="1"/>
  <c r="H109" i="7"/>
  <c r="I109" i="7" l="1"/>
  <c r="J109" i="7" s="1"/>
  <c r="F110" i="7" s="1"/>
  <c r="G109" i="7"/>
  <c r="E110" i="7" l="1"/>
  <c r="I110" i="7" s="1"/>
  <c r="J110" i="7" s="1"/>
  <c r="H110" i="7"/>
  <c r="K110" i="7" l="1"/>
  <c r="G110" i="7"/>
  <c r="E111" i="7" s="1"/>
  <c r="F111" i="7"/>
  <c r="K111" i="7" l="1"/>
  <c r="H111" i="7"/>
  <c r="I111" i="7"/>
  <c r="J111" i="7" s="1"/>
  <c r="G111" i="7"/>
  <c r="E112" i="7" l="1"/>
  <c r="F112" i="7"/>
  <c r="I112" i="7" l="1"/>
  <c r="J112" i="7" s="1"/>
  <c r="G112" i="7"/>
  <c r="K112" i="7"/>
  <c r="H112" i="7"/>
  <c r="F113" i="7" l="1"/>
  <c r="E113" i="7"/>
  <c r="K113" i="7" l="1"/>
  <c r="H113" i="7"/>
  <c r="I113" i="7"/>
  <c r="J113" i="7" s="1"/>
  <c r="G113" i="7"/>
  <c r="E114" i="7" l="1"/>
  <c r="F114" i="7"/>
  <c r="I114" i="7" l="1"/>
  <c r="J114" i="7" s="1"/>
  <c r="G114" i="7"/>
  <c r="K114" i="7"/>
  <c r="H114" i="7"/>
  <c r="F115" i="7" l="1"/>
  <c r="E115" i="7"/>
  <c r="K115" i="7" l="1"/>
  <c r="H115" i="7"/>
  <c r="I115" i="7"/>
  <c r="J115" i="7" s="1"/>
  <c r="G115" i="7"/>
  <c r="E116" i="7" l="1"/>
  <c r="F116" i="7"/>
  <c r="I116" i="7" l="1"/>
  <c r="J116" i="7" s="1"/>
  <c r="G116" i="7"/>
  <c r="K116" i="7"/>
  <c r="H116" i="7"/>
  <c r="F117" i="7" l="1"/>
  <c r="E117" i="7"/>
  <c r="I117" i="7" l="1"/>
  <c r="J117" i="7" s="1"/>
  <c r="G117" i="7"/>
  <c r="K117" i="7"/>
  <c r="H117" i="7"/>
  <c r="F118" i="7" l="1"/>
  <c r="H118" i="7" s="1"/>
  <c r="E118" i="7"/>
  <c r="I118" i="7" l="1"/>
  <c r="J118" i="7" s="1"/>
  <c r="F119" i="7" s="1"/>
  <c r="G118" i="7"/>
  <c r="K118" i="7"/>
  <c r="E119" i="7" l="1"/>
  <c r="K119" i="7" s="1"/>
  <c r="H119" i="7"/>
  <c r="G119" i="7" l="1"/>
  <c r="I119" i="7"/>
  <c r="J119" i="7" s="1"/>
  <c r="E120" i="7" l="1"/>
  <c r="G120" i="7" s="1"/>
  <c r="F120" i="7"/>
  <c r="H120" i="7" s="1"/>
  <c r="I120" i="7" l="1"/>
  <c r="J120" i="7" s="1"/>
  <c r="F121" i="7" s="1"/>
  <c r="K120" i="7"/>
  <c r="E121" i="7" l="1"/>
  <c r="K121" i="7" s="1"/>
  <c r="H121" i="7"/>
  <c r="G121" i="7" l="1"/>
  <c r="I121" i="7"/>
  <c r="J121" i="7" s="1"/>
  <c r="E122" i="7" l="1"/>
  <c r="G122" i="7" s="1"/>
  <c r="F122" i="7"/>
  <c r="K122" i="7" l="1"/>
  <c r="H122" i="7"/>
  <c r="I122" i="7"/>
  <c r="J122" i="7" s="1"/>
  <c r="E123" i="7" s="1"/>
  <c r="G142" i="7" s="1"/>
  <c r="F23" i="12" s="1"/>
  <c r="J23" i="12" s="1"/>
  <c r="F123" i="7" l="1"/>
  <c r="K123" i="7" s="1"/>
  <c r="G123" i="7"/>
  <c r="O21" i="12"/>
  <c r="O23" i="12" s="1"/>
  <c r="E151" i="7"/>
  <c r="E147" i="7"/>
  <c r="E32" i="11" s="1"/>
  <c r="E148" i="7"/>
  <c r="E33" i="11" s="1"/>
  <c r="E150" i="7"/>
  <c r="E35" i="11" s="1"/>
  <c r="H151" i="7"/>
  <c r="E149" i="7"/>
  <c r="E34" i="11" s="1"/>
  <c r="G143" i="7"/>
  <c r="I123" i="7" l="1"/>
  <c r="J123" i="7" s="1"/>
  <c r="E124" i="7" s="1"/>
  <c r="G124" i="7" s="1"/>
  <c r="H123" i="7"/>
  <c r="I147" i="7"/>
  <c r="I32" i="11" s="1"/>
  <c r="I149" i="7"/>
  <c r="I34" i="11" s="1"/>
  <c r="I151" i="7"/>
  <c r="I36" i="11" s="1"/>
  <c r="I148" i="7"/>
  <c r="I33" i="11" s="1"/>
  <c r="I150" i="7"/>
  <c r="I35" i="11" s="1"/>
  <c r="P62" i="12"/>
  <c r="H149" i="7"/>
  <c r="H36" i="11"/>
  <c r="E36" i="11"/>
  <c r="F151" i="7"/>
  <c r="F124" i="7" l="1"/>
  <c r="H124" i="7" s="1"/>
  <c r="H148" i="7"/>
  <c r="H33" i="11" s="1"/>
  <c r="H34" i="11"/>
  <c r="F36" i="11"/>
  <c r="F149" i="7"/>
  <c r="F150" i="7" s="1"/>
  <c r="F35" i="11" s="1"/>
  <c r="H150" i="7"/>
  <c r="H35" i="11" s="1"/>
  <c r="I124" i="7" l="1"/>
  <c r="J124" i="7" s="1"/>
  <c r="E125" i="7" s="1"/>
  <c r="G125" i="7" s="1"/>
  <c r="K124" i="7"/>
  <c r="F148" i="7"/>
  <c r="F33" i="11" s="1"/>
  <c r="F34" i="11"/>
  <c r="F125" i="7" l="1"/>
  <c r="I125" i="7" s="1"/>
  <c r="J125" i="7" s="1"/>
  <c r="E126" i="7" s="1"/>
  <c r="K125" i="7" l="1"/>
  <c r="H125" i="7"/>
  <c r="F126" i="7" s="1"/>
  <c r="H126" i="7" s="1"/>
  <c r="G126" i="7"/>
  <c r="K126" i="7" l="1"/>
  <c r="I126" i="7"/>
  <c r="J126" i="7" s="1"/>
  <c r="F127" i="7" s="1"/>
  <c r="H127" i="7" s="1"/>
  <c r="E127" i="7" l="1"/>
  <c r="K127" i="7" s="1"/>
  <c r="G127" i="7" l="1"/>
  <c r="I127" i="7"/>
  <c r="J127" i="7" s="1"/>
  <c r="F128" i="7" s="1"/>
  <c r="H128" i="7" s="1"/>
  <c r="E128" i="7" l="1"/>
  <c r="I128" i="7" s="1"/>
  <c r="J128" i="7" s="1"/>
  <c r="K128" i="7" l="1"/>
  <c r="G128" i="7"/>
</calcChain>
</file>

<file path=xl/sharedStrings.xml><?xml version="1.0" encoding="utf-8"?>
<sst xmlns="http://schemas.openxmlformats.org/spreadsheetml/2006/main" count="287" uniqueCount="230">
  <si>
    <t>DENSIDADE    DO SOLO      ÚMIDO</t>
  </si>
  <si>
    <t>------</t>
  </si>
  <si>
    <t>g</t>
  </si>
  <si>
    <t>%</t>
  </si>
  <si>
    <r>
      <t>C Á P S U L A      N</t>
    </r>
    <r>
      <rPr>
        <vertAlign val="superscript"/>
        <sz val="10"/>
        <rFont val="Arial"/>
        <family val="2"/>
      </rPr>
      <t>o</t>
    </r>
  </si>
  <si>
    <r>
      <t>V O L U M E    D O    M O L D E  -  (Cm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</si>
  <si>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t>T A R A    D A    C Á P S U L A  -  (g)</t>
  </si>
  <si>
    <t>U M I D A D E  -  (%)</t>
  </si>
  <si>
    <t>UMIDADE                        /                                MÉDIA</t>
  </si>
  <si>
    <t>Pol.</t>
  </si>
  <si>
    <t>U M I D A D E</t>
  </si>
  <si>
    <t>DATA:</t>
  </si>
  <si>
    <t>LOCAL: FURO / ESTACA</t>
  </si>
  <si>
    <t>Método dos Mínimos Quadrados:</t>
  </si>
  <si>
    <t>Tabela</t>
  </si>
  <si>
    <t>x</t>
  </si>
  <si>
    <t>f(x)</t>
  </si>
  <si>
    <t>i</t>
  </si>
  <si>
    <t>å =</t>
  </si>
  <si>
    <t>Sistema Linear:</t>
  </si>
  <si>
    <t>A</t>
  </si>
  <si>
    <t>=</t>
  </si>
  <si>
    <t>A0 =</t>
  </si>
  <si>
    <t>A1=</t>
  </si>
  <si>
    <t>A2=</t>
  </si>
  <si>
    <t>A3=</t>
  </si>
  <si>
    <t>A4=</t>
  </si>
  <si>
    <t>det A =</t>
  </si>
  <si>
    <t>det A0 =</t>
  </si>
  <si>
    <t>a0 =</t>
  </si>
  <si>
    <t>det A1=</t>
  </si>
  <si>
    <t>a1 =</t>
  </si>
  <si>
    <t>det A2=</t>
  </si>
  <si>
    <t xml:space="preserve">a2 = </t>
  </si>
  <si>
    <t>det A3 =</t>
  </si>
  <si>
    <t>a3 =</t>
  </si>
  <si>
    <t>det A4=</t>
  </si>
  <si>
    <t>a4 =</t>
  </si>
  <si>
    <t>Polinômio do 4º Grau:</t>
  </si>
  <si>
    <t>P(x) =</t>
  </si>
  <si>
    <r>
      <t>x</t>
    </r>
    <r>
      <rPr>
        <b/>
        <vertAlign val="superscript"/>
        <sz val="10"/>
        <rFont val="Arial"/>
        <family val="2"/>
      </rPr>
      <t xml:space="preserve">4    </t>
    </r>
    <r>
      <rPr>
        <b/>
        <sz val="10"/>
        <rFont val="Arial"/>
        <family val="2"/>
      </rPr>
      <t>+</t>
    </r>
  </si>
  <si>
    <r>
      <t>x</t>
    </r>
    <r>
      <rPr>
        <b/>
        <vertAlign val="superscript"/>
        <sz val="10"/>
        <rFont val="Arial"/>
        <family val="2"/>
      </rPr>
      <t xml:space="preserve">3    </t>
    </r>
    <r>
      <rPr>
        <b/>
        <sz val="10"/>
        <rFont val="Arial"/>
        <family val="2"/>
      </rPr>
      <t>+</t>
    </r>
  </si>
  <si>
    <r>
      <t>x</t>
    </r>
    <r>
      <rPr>
        <b/>
        <vertAlign val="superscript"/>
        <sz val="10"/>
        <rFont val="Arial"/>
        <family val="2"/>
      </rPr>
      <t xml:space="preserve">2    </t>
    </r>
    <r>
      <rPr>
        <b/>
        <sz val="10"/>
        <rFont val="Arial"/>
        <family val="2"/>
      </rPr>
      <t>+</t>
    </r>
  </si>
  <si>
    <r>
      <t>x</t>
    </r>
    <r>
      <rPr>
        <b/>
        <vertAlign val="superscript"/>
        <sz val="10"/>
        <rFont val="Arial"/>
        <family val="2"/>
      </rPr>
      <t xml:space="preserve">1    </t>
    </r>
    <r>
      <rPr>
        <b/>
        <sz val="10"/>
        <rFont val="Arial"/>
        <family val="2"/>
      </rPr>
      <t>+</t>
    </r>
  </si>
  <si>
    <t>Derivada: P'(x)</t>
  </si>
  <si>
    <t>P'(x) =</t>
  </si>
  <si>
    <t>Zero de Função:</t>
  </si>
  <si>
    <t>Método da Bisseção</t>
  </si>
  <si>
    <t>Valor Inicial</t>
  </si>
  <si>
    <t>a</t>
  </si>
  <si>
    <t>b</t>
  </si>
  <si>
    <t>f(a)</t>
  </si>
  <si>
    <t>f(b)</t>
  </si>
  <si>
    <t>Er</t>
  </si>
  <si>
    <t>Zero:</t>
  </si>
  <si>
    <t>P(x) =0</t>
  </si>
  <si>
    <t>x =</t>
  </si>
  <si>
    <t>Umidade Otima</t>
  </si>
  <si>
    <t>y =</t>
  </si>
  <si>
    <t>Densidade Maxima</t>
  </si>
  <si>
    <t>Vertical</t>
  </si>
  <si>
    <t>Horizontal</t>
  </si>
  <si>
    <t>Curva</t>
  </si>
  <si>
    <t>y</t>
  </si>
  <si>
    <t>HORIZONTAL</t>
  </si>
  <si>
    <t>ENERGIA COMPACTAÇÃO / DADOS EQUIPAMENTO</t>
  </si>
  <si>
    <r>
      <t>a</t>
    </r>
    <r>
      <rPr>
        <vertAlign val="subscript"/>
        <sz val="10"/>
        <rFont val="Arial"/>
        <family val="2"/>
      </rPr>
      <t>0</t>
    </r>
  </si>
  <si>
    <r>
      <t>a</t>
    </r>
    <r>
      <rPr>
        <vertAlign val="subscript"/>
        <sz val="10"/>
        <rFont val="Arial"/>
        <family val="2"/>
      </rPr>
      <t>1</t>
    </r>
  </si>
  <si>
    <r>
      <t>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/>
    </r>
  </si>
  <si>
    <r>
      <t>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/>
    </r>
  </si>
  <si>
    <r>
      <t>a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/>
    </r>
  </si>
  <si>
    <t>UMIDADE HIGROSCÓPICA</t>
  </si>
  <si>
    <r>
      <t>g / Cm</t>
    </r>
    <r>
      <rPr>
        <vertAlign val="superscript"/>
        <sz val="8"/>
        <rFont val="Arial"/>
        <family val="2"/>
      </rPr>
      <t>3</t>
    </r>
  </si>
  <si>
    <t>M O L D A G E M   DO  C O R P O   D E   P R O V A</t>
  </si>
  <si>
    <t>E Q U I P A M E N T O S  -  D A D O S</t>
  </si>
  <si>
    <t>U M I D A D E S</t>
  </si>
  <si>
    <t xml:space="preserve"> MOLDAGEM</t>
  </si>
  <si>
    <t>Peso do Molde</t>
  </si>
  <si>
    <t>Peso Bruto Úmido</t>
  </si>
  <si>
    <t>Volume do Molde</t>
  </si>
  <si>
    <t>Peso Bruto Seco</t>
  </si>
  <si>
    <t>Nº de Camadas</t>
  </si>
  <si>
    <t>Peso da Cápsula</t>
  </si>
  <si>
    <t>Golpes/Camada</t>
  </si>
  <si>
    <t>Peso da Água</t>
  </si>
  <si>
    <t>Peso do Soquete</t>
  </si>
  <si>
    <t>Peso do Solo Seco</t>
  </si>
  <si>
    <t>Espessura do disco espaçador</t>
  </si>
  <si>
    <t>Umidade (%)</t>
  </si>
  <si>
    <t>Altura do Cilindro</t>
  </si>
  <si>
    <t>Umidade Média (%)</t>
  </si>
  <si>
    <t>DADOS  DE  COMPACTAÇÃO</t>
  </si>
  <si>
    <t>CÁLCULO  DA  ÁGUA  A  JUNTAR</t>
  </si>
  <si>
    <t>Umidade Ótima - %</t>
  </si>
  <si>
    <t>Umidade Higroscópica - %</t>
  </si>
  <si>
    <t>Diferença de Umidade - %</t>
  </si>
  <si>
    <t>E  N  S  A  I  O    D E    P  E  N  E  T  R  A  Ç  Ã  O</t>
  </si>
  <si>
    <t>E X P A N S Ã O</t>
  </si>
  <si>
    <t>Tempo        min.</t>
  </si>
  <si>
    <t>Penetração</t>
  </si>
  <si>
    <t>Leitura         Extens.</t>
  </si>
  <si>
    <t>Pressão - kg/cm²</t>
  </si>
  <si>
    <t>Datas</t>
  </si>
  <si>
    <t>Expansão       %</t>
  </si>
  <si>
    <t>Calc.</t>
  </si>
  <si>
    <t>Corrig.</t>
  </si>
  <si>
    <t>Padrão</t>
  </si>
  <si>
    <t>Dia</t>
  </si>
  <si>
    <t>Hora</t>
  </si>
  <si>
    <t>30 seg.</t>
  </si>
  <si>
    <t>EXPANSÃO (%)       =</t>
  </si>
  <si>
    <t>CÁLCULOS  PARA  MOLDAGEM  DO  C.P.</t>
  </si>
  <si>
    <t>Peso do solo úmido - Ph (g) =</t>
  </si>
  <si>
    <t>Peso retido na # n° 04 - Pr 4 (g) =</t>
  </si>
  <si>
    <t>VERIFICAÇÃO  DA  MOLDAGEM</t>
  </si>
  <si>
    <t>UMIDADE  APÓS  A  IMERSÃO</t>
  </si>
  <si>
    <t>Peso bruto c.p. após imersão (Pbim):</t>
  </si>
  <si>
    <t>Peso c.p. após imersão (Pim=Pbim-T):</t>
  </si>
  <si>
    <t>Umidade de Saturação (Hsat %) =</t>
  </si>
  <si>
    <t>Grau de Saturação (%) =</t>
  </si>
  <si>
    <r>
      <t>Cápsula - N</t>
    </r>
    <r>
      <rPr>
        <vertAlign val="superscript"/>
        <sz val="10"/>
        <rFont val="Arial"/>
        <family val="2"/>
      </rPr>
      <t>o</t>
    </r>
  </si>
  <si>
    <t>Peso bruto do c.p. úmido (g):</t>
  </si>
  <si>
    <t>Peso do c.p. úmido (g):</t>
  </si>
  <si>
    <t>Densidade do c.p. úmido (kg/m³):</t>
  </si>
  <si>
    <t>Dens. do c.p. seco (kg/m³):</t>
  </si>
  <si>
    <t>INÍCIO:</t>
  </si>
  <si>
    <t>Constante         Prensa</t>
  </si>
  <si>
    <t>TEMPO DE ENSAIO</t>
  </si>
  <si>
    <t>GOLPES POR CAMADA               (Ud)</t>
  </si>
  <si>
    <t>NÚMERO DE CAMADAS            (Ud)</t>
  </si>
  <si>
    <t>UMIDADE ÓTIMA                      (%)</t>
  </si>
  <si>
    <t>CBR  =</t>
  </si>
  <si>
    <r>
      <t>Y= a x</t>
    </r>
    <r>
      <rPr>
        <vertAlign val="superscript"/>
        <sz val="10"/>
        <rFont val="Arial"/>
        <family val="2"/>
      </rPr>
      <t>4</t>
    </r>
    <r>
      <rPr>
        <sz val="10"/>
        <rFont val="Arial"/>
        <family val="2"/>
      </rPr>
      <t xml:space="preserve"> + b x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 xml:space="preserve"> + c x</t>
    </r>
    <r>
      <rPr>
        <vertAlign val="superscript"/>
        <sz val="10"/>
        <rFont val="Arial"/>
        <family val="2"/>
      </rPr>
      <t>2</t>
    </r>
    <r>
      <rPr>
        <sz val="10"/>
        <rFont val="Arial"/>
        <family val="2"/>
      </rPr>
      <t xml:space="preserve"> + d x + e</t>
    </r>
  </si>
  <si>
    <r>
      <t>a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 xml:space="preserve"> = a</t>
    </r>
  </si>
  <si>
    <r>
      <t>a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 xml:space="preserve"> = b</t>
    </r>
  </si>
  <si>
    <r>
      <t>a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= c</t>
    </r>
  </si>
  <si>
    <r>
      <t>a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 xml:space="preserve"> = b</t>
    </r>
  </si>
  <si>
    <r>
      <t>a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 xml:space="preserve"> = e</t>
    </r>
  </si>
  <si>
    <r>
      <t>g</t>
    </r>
    <r>
      <rPr>
        <vertAlign val="subscript"/>
        <sz val="10"/>
        <rFont val="Arial"/>
        <family val="2"/>
      </rPr>
      <t>0</t>
    </r>
    <r>
      <rPr>
        <sz val="10"/>
        <rFont val="Arial"/>
        <family val="2"/>
      </rPr>
      <t>(x) = x</t>
    </r>
    <r>
      <rPr>
        <vertAlign val="superscript"/>
        <sz val="10"/>
        <rFont val="Arial"/>
        <family val="2"/>
      </rPr>
      <t>4</t>
    </r>
  </si>
  <si>
    <r>
      <t>g</t>
    </r>
    <r>
      <rPr>
        <vertAlign val="subscript"/>
        <sz val="10"/>
        <rFont val="Arial"/>
        <family val="2"/>
      </rPr>
      <t>1</t>
    </r>
    <r>
      <rPr>
        <sz val="10"/>
        <rFont val="Arial"/>
        <family val="2"/>
      </rPr>
      <t>(x) = x</t>
    </r>
    <r>
      <rPr>
        <vertAlign val="superscript"/>
        <sz val="10"/>
        <rFont val="Arial"/>
        <family val="2"/>
      </rPr>
      <t>3</t>
    </r>
  </si>
  <si>
    <r>
      <t>g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>(x) = x</t>
    </r>
    <r>
      <rPr>
        <vertAlign val="superscript"/>
        <sz val="10"/>
        <rFont val="Arial"/>
        <family val="2"/>
      </rPr>
      <t>2</t>
    </r>
  </si>
  <si>
    <r>
      <t>g</t>
    </r>
    <r>
      <rPr>
        <vertAlign val="subscript"/>
        <sz val="10"/>
        <rFont val="Arial"/>
        <family val="2"/>
      </rPr>
      <t>3</t>
    </r>
    <r>
      <rPr>
        <sz val="10"/>
        <rFont val="Arial"/>
        <family val="2"/>
      </rPr>
      <t>(x) = x</t>
    </r>
  </si>
  <si>
    <r>
      <t>g</t>
    </r>
    <r>
      <rPr>
        <vertAlign val="subscript"/>
        <sz val="10"/>
        <rFont val="Arial"/>
        <family val="2"/>
      </rPr>
      <t>4</t>
    </r>
    <r>
      <rPr>
        <sz val="10"/>
        <rFont val="Arial"/>
        <family val="2"/>
      </rPr>
      <t>(x) = 1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</si>
  <si>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</si>
  <si>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</si>
  <si>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</si>
  <si>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</si>
  <si>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</si>
  <si>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</si>
  <si>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</si>
  <si>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</si>
  <si>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3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</si>
  <si>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4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 xml:space="preserve">(x) 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</si>
  <si>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</si>
  <si>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</si>
  <si>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</si>
  <si>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</si>
  <si>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</si>
  <si>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</si>
  <si>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</si>
  <si>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</si>
  <si>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</si>
  <si>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(x).g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</t>
    </r>
  </si>
  <si>
    <r>
      <t>g</t>
    </r>
    <r>
      <rPr>
        <b/>
        <vertAlign val="subscript"/>
        <sz val="10"/>
        <rFont val="Arial"/>
        <family val="2"/>
      </rPr>
      <t>0</t>
    </r>
    <r>
      <rPr>
        <b/>
        <sz val="10"/>
        <rFont val="Arial"/>
        <family val="2"/>
      </rPr>
      <t>(x).f(x)</t>
    </r>
  </si>
  <si>
    <r>
      <t>g</t>
    </r>
    <r>
      <rPr>
        <b/>
        <vertAlign val="subscript"/>
        <sz val="10"/>
        <rFont val="Arial"/>
        <family val="2"/>
      </rPr>
      <t>1</t>
    </r>
    <r>
      <rPr>
        <b/>
        <sz val="10"/>
        <rFont val="Arial"/>
        <family val="2"/>
      </rPr>
      <t>(x).f(x)</t>
    </r>
  </si>
  <si>
    <r>
      <t>g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>(x).f(x)</t>
    </r>
  </si>
  <si>
    <r>
      <t>g</t>
    </r>
    <r>
      <rPr>
        <b/>
        <vertAlign val="subscript"/>
        <sz val="10"/>
        <rFont val="Arial"/>
        <family val="2"/>
      </rPr>
      <t>3</t>
    </r>
    <r>
      <rPr>
        <b/>
        <sz val="10"/>
        <rFont val="Arial"/>
        <family val="2"/>
      </rPr>
      <t>(x).f(x)</t>
    </r>
  </si>
  <si>
    <r>
      <t>g</t>
    </r>
    <r>
      <rPr>
        <b/>
        <vertAlign val="subscript"/>
        <sz val="10"/>
        <rFont val="Arial"/>
        <family val="2"/>
      </rPr>
      <t>4</t>
    </r>
    <r>
      <rPr>
        <b/>
        <sz val="10"/>
        <rFont val="Arial"/>
        <family val="2"/>
      </rPr>
      <t>(x).f(x)</t>
    </r>
  </si>
  <si>
    <t>PROCTOR:</t>
  </si>
  <si>
    <t>2½"</t>
  </si>
  <si>
    <t>REGISTRO  Nº</t>
  </si>
  <si>
    <t>Volume Calc.                                (cm³)</t>
  </si>
  <si>
    <t>Densidade Máxima - kg/m³</t>
  </si>
  <si>
    <t>Peso do Solo Seco Passando na peneira n° 04</t>
  </si>
  <si>
    <t>N°</t>
  </si>
  <si>
    <t>Peso do Pedregulho Retido na peneira nº 04</t>
  </si>
  <si>
    <r>
      <t>DENSIDADE MÁXIMA                (g/cm</t>
    </r>
    <r>
      <rPr>
        <b/>
        <sz val="12"/>
        <rFont val="Arial"/>
        <family val="2"/>
      </rPr>
      <t>³</t>
    </r>
    <r>
      <rPr>
        <b/>
        <i/>
        <sz val="12"/>
        <rFont val="Arial"/>
        <family val="2"/>
      </rPr>
      <t>)</t>
    </r>
  </si>
  <si>
    <t/>
  </si>
  <si>
    <t>24h</t>
  </si>
  <si>
    <t>48h</t>
  </si>
  <si>
    <t>72h</t>
  </si>
  <si>
    <t>96h</t>
  </si>
  <si>
    <t>INTERESSADO:</t>
  </si>
  <si>
    <t>PROCEDÊNCIA:</t>
  </si>
  <si>
    <t>CIDADE:</t>
  </si>
  <si>
    <t>OBRA:</t>
  </si>
  <si>
    <t xml:space="preserve">ENSAIO DE COMPACTAÇÃO </t>
  </si>
  <si>
    <t>DETERMINAÇÃO DO ÍNDICE SUPORTE CALIFORNIA                                    I.S.C</t>
  </si>
  <si>
    <t>RESPONSÁVEL:</t>
  </si>
  <si>
    <t>Peso do Solo Úmido Passando na peneira n° 04</t>
  </si>
  <si>
    <t>Água a Juntar:</t>
  </si>
  <si>
    <t>mm</t>
  </si>
  <si>
    <t>Leitura       Defl. (mm)</t>
  </si>
  <si>
    <t>Diferença      (mm)</t>
  </si>
  <si>
    <t>Peso passando n # n° 04 - Os 4 (g) =</t>
  </si>
  <si>
    <t>Peso seco passando na # n° 04 - (g) =</t>
  </si>
  <si>
    <t>PROFUNDIDADE (cm)</t>
  </si>
  <si>
    <t>Molde -  Nº</t>
  </si>
  <si>
    <t>P E S O    B R U T O    Ú M I D O  -  (g)</t>
  </si>
  <si>
    <t xml:space="preserve">P E S O    B R U T O    S E C O  -  (g)   </t>
  </si>
  <si>
    <t>P E S O    D A    Á G U A  -  (g)</t>
  </si>
  <si>
    <t>P E S O    D O    S O L O    S E C O  -  (g)</t>
  </si>
  <si>
    <r>
      <t>E N E R G I A  DE  C O M P A C T A Ç Ã O (Kg.Cm / Cm</t>
    </r>
    <r>
      <rPr>
        <vertAlign val="superscript"/>
        <sz val="10"/>
        <rFont val="Arial"/>
        <family val="2"/>
      </rPr>
      <t>3</t>
    </r>
    <r>
      <rPr>
        <sz val="10"/>
        <rFont val="Arial"/>
        <family val="2"/>
      </rPr>
      <t>)</t>
    </r>
  </si>
  <si>
    <t>MOLDE      Nº</t>
  </si>
  <si>
    <t>PESO           BRUTO        ÚMIDO</t>
  </si>
  <si>
    <t>PESO                  DO SOLO        ÚMIDO</t>
  </si>
  <si>
    <t>ALTURA   DE   QUEDA   DO   SOQUETE  -  (Cm):</t>
  </si>
  <si>
    <t>P E S O    D O    M O L D E  -  (g)</t>
  </si>
  <si>
    <t>P E S O    D O    S O Q U E T E  -  (g)</t>
  </si>
  <si>
    <t>P  E  S  O                                          B  R  U  T  O                                    S E C O</t>
  </si>
  <si>
    <t>P E S O                                           B R U T O                                Ú M I D O</t>
  </si>
  <si>
    <t>P E S O                                        D A                                                   C Á P S U L A</t>
  </si>
  <si>
    <r>
      <t xml:space="preserve">PONTO                   N </t>
    </r>
    <r>
      <rPr>
        <vertAlign val="superscript"/>
        <sz val="8"/>
        <rFont val="Arial"/>
        <family val="2"/>
      </rPr>
      <t>o</t>
    </r>
  </si>
  <si>
    <t>P E S O                                             D A                                                        Á G U A</t>
  </si>
  <si>
    <r>
      <t xml:space="preserve">CÁPSULAS                             N </t>
    </r>
    <r>
      <rPr>
        <vertAlign val="superscript"/>
        <sz val="8"/>
        <rFont val="Arial"/>
        <family val="2"/>
      </rPr>
      <t>o</t>
    </r>
  </si>
  <si>
    <t xml:space="preserve">P E S O                                            D O  S O L O                                 S E C O </t>
  </si>
  <si>
    <t>DENSIDADE      DO SOLO          SECO</t>
  </si>
  <si>
    <t>D   E   T   E   R   M   I   N   A   Ç   Ã   O         D   A         U   M   I   D   A   D   E</t>
  </si>
  <si>
    <t>E S P E S S U R A  D O  D I S C O  E S P A Ç A D O R - (pol)</t>
  </si>
  <si>
    <t>U M I D A D E   M É D I A  -  (%)</t>
  </si>
  <si>
    <t>REGISTRO Nº:</t>
  </si>
  <si>
    <t>PROFUNDIDADE (cm):</t>
  </si>
  <si>
    <t xml:space="preserve">OBSERVAÇÕES: </t>
  </si>
  <si>
    <t>-</t>
  </si>
  <si>
    <t>05</t>
  </si>
  <si>
    <t>26</t>
  </si>
  <si>
    <t>02</t>
  </si>
  <si>
    <t>5</t>
  </si>
  <si>
    <t/>
  </si>
  <si>
    <t>HIGROSCÓPICA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</si>
</sst>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164" formatCode="_(* #,##0.00_);_(* \(#,##0.00\);_(* &quot;-&quot;??_);_(@_)"/>
    <numFmt numFmtId="165" formatCode="0.000"/>
    <numFmt numFmtId="166" formatCode="#,##0.000_);\(#,##0.000\)"/>
    <numFmt numFmtId="167" formatCode="0.0"/>
    <numFmt numFmtId="168" formatCode="#,##0.000"/>
    <numFmt numFmtId="169" formatCode="0.00000000000000"/>
    <numFmt numFmtId="170" formatCode="0.00000"/>
    <numFmt numFmtId="171" formatCode="0.00000E+00"/>
    <numFmt numFmtId="172" formatCode="_(* #,##0.000_);_(* \(#,##0.000\);_(* &quot;-&quot;??_);_(@_)"/>
    <numFmt numFmtId="173" formatCode="0.000000"/>
    <numFmt numFmtId="174" formatCode="0.0%"/>
    <numFmt numFmtId="175" formatCode="dd/mm/yy;@"/>
    <numFmt numFmtId="176" formatCode="0.0000"/>
  </numFmts>
  <fonts count="5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vertAlign val="superscript"/>
      <sz val="8"/>
      <name val="Arial"/>
      <family val="2"/>
    </font>
    <font>
      <vertAlign val="superscript"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sz val="10"/>
      <name val="Arial"/>
      <family val="2"/>
    </font>
    <font>
      <b/>
      <sz val="10"/>
      <name val="Symbol"/>
      <family val="1"/>
      <charset val="2"/>
    </font>
    <font>
      <sz val="10"/>
      <name val="Arial"/>
      <family val="2"/>
    </font>
    <font>
      <vertAlign val="subscript"/>
      <sz val="10"/>
      <name val="Arial"/>
      <family val="2"/>
    </font>
    <font>
      <sz val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b/>
      <i/>
      <sz val="10"/>
      <name val="Arial"/>
      <family val="2"/>
    </font>
    <font>
      <sz val="10"/>
      <name val="Arial Narrow"/>
      <family val="2"/>
    </font>
    <font>
      <b/>
      <sz val="9"/>
      <name val="Arial Narrow"/>
      <family val="2"/>
    </font>
    <font>
      <sz val="9"/>
      <name val="Arial"/>
      <family val="2"/>
    </font>
    <font>
      <b/>
      <i/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i/>
      <sz val="10"/>
      <name val="Arial"/>
      <family val="2"/>
    </font>
    <font>
      <b/>
      <u/>
      <sz val="12"/>
      <name val="Arial"/>
      <family val="2"/>
    </font>
    <font>
      <b/>
      <vertAlign val="subscript"/>
      <sz val="10"/>
      <name val="Arial"/>
      <family val="2"/>
    </font>
    <font>
      <sz val="9"/>
      <name val="Arial Narrow"/>
      <family val="2"/>
    </font>
    <font>
      <b/>
      <i/>
      <sz val="10"/>
      <name val="Arial Narrow"/>
      <family val="2"/>
    </font>
    <font>
      <b/>
      <sz val="14"/>
      <name val="Arial"/>
      <family val="2"/>
    </font>
    <font>
      <sz val="24"/>
      <name val="Arial"/>
      <family val="2"/>
    </font>
    <font>
      <b/>
      <sz val="9"/>
      <name val="Arial"/>
      <family val="2"/>
    </font>
    <font>
      <b/>
      <sz val="18"/>
      <name val="Rockwell"/>
      <family val="1"/>
      <scheme val="minor"/>
    </font>
    <font>
      <b/>
      <sz val="8"/>
      <name val="Arial"/>
      <family val="2"/>
    </font>
    <font>
      <b/>
      <shadow/>
      <sz val="22"/>
      <name val="Arial"/>
      <family val="2"/>
    </font>
    <font>
      <sz val="11"/>
      <name val="Arial"/>
      <family val="2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1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14" fillId="2" borderId="0" applyNumberFormat="0" applyBorder="0" applyAlignment="0" applyProtection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5" borderId="0" applyNumberFormat="0" applyBorder="0" applyAlignment="0" applyProtection="0"/>
    <xf numFmtId="0" fontId="14" fillId="8" borderId="0" applyNumberFormat="0" applyBorder="0" applyAlignment="0" applyProtection="0"/>
    <xf numFmtId="0" fontId="14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4" borderId="0" applyNumberFormat="0" applyBorder="0" applyAlignment="0" applyProtection="0"/>
    <xf numFmtId="0" fontId="17" fillId="16" borderId="1" applyNumberFormat="0" applyAlignment="0" applyProtection="0"/>
    <xf numFmtId="0" fontId="18" fillId="17" borderId="2" applyNumberFormat="0" applyAlignment="0" applyProtection="0"/>
    <xf numFmtId="0" fontId="19" fillId="0" borderId="3" applyNumberFormat="0" applyFill="0" applyAlignment="0" applyProtection="0"/>
    <xf numFmtId="0" fontId="15" fillId="18" borderId="0" applyNumberFormat="0" applyBorder="0" applyAlignment="0" applyProtection="0"/>
    <xf numFmtId="0" fontId="15" fillId="19" borderId="0" applyNumberFormat="0" applyBorder="0" applyAlignment="0" applyProtection="0"/>
    <xf numFmtId="0" fontId="15" fillId="20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21" borderId="0" applyNumberFormat="0" applyBorder="0" applyAlignment="0" applyProtection="0"/>
    <xf numFmtId="0" fontId="20" fillId="7" borderId="1" applyNumberFormat="0" applyAlignment="0" applyProtection="0"/>
    <xf numFmtId="0" fontId="21" fillId="3" borderId="0" applyNumberFormat="0" applyBorder="0" applyAlignment="0" applyProtection="0"/>
    <xf numFmtId="0" fontId="22" fillId="22" borderId="0" applyNumberFormat="0" applyBorder="0" applyAlignment="0" applyProtection="0"/>
    <xf numFmtId="0" fontId="1" fillId="23" borderId="4" applyNumberFormat="0" applyFont="0" applyAlignment="0" applyProtection="0"/>
    <xf numFmtId="0" fontId="23" fillId="16" borderId="5" applyNumberFormat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6" applyNumberFormat="0" applyFill="0" applyAlignment="0" applyProtection="0"/>
    <xf numFmtId="0" fontId="28" fillId="0" borderId="7" applyNumberFormat="0" applyFill="0" applyAlignment="0" applyProtection="0"/>
    <xf numFmtId="0" fontId="29" fillId="0" borderId="8" applyNumberFormat="0" applyFill="0" applyAlignment="0" applyProtection="0"/>
    <xf numFmtId="0" fontId="29" fillId="0" borderId="0" applyNumberFormat="0" applyFill="0" applyBorder="0" applyAlignment="0" applyProtection="0"/>
    <xf numFmtId="0" fontId="30" fillId="0" borderId="9" applyNumberFormat="0" applyFill="0" applyAlignment="0" applyProtection="0"/>
    <xf numFmtId="164" fontId="1" fillId="0" borderId="0" applyFont="0" applyFill="0" applyBorder="0" applyAlignment="0" applyProtection="0"/>
    <xf numFmtId="9" fontId="50" fillId="0" borderId="0" applyFont="0" applyFill="0" applyBorder="0" applyAlignment="0" applyProtection="0"/>
  </cellStyleXfs>
  <cellXfs count="495">
    <xf numFmtId="0" fontId="0" fillId="0" borderId="0" xfId="0"/>
    <xf numFmtId="0" fontId="2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0" borderId="0" xfId="0" applyFont="1"/>
    <xf numFmtId="0" fontId="7" fillId="0" borderId="0" xfId="0" applyFont="1" applyAlignment="1">
      <alignment horizontal="left"/>
    </xf>
    <xf numFmtId="169" fontId="5" fillId="0" borderId="0" xfId="0" applyNumberFormat="1" applyFont="1" applyAlignment="1">
      <alignment horizontal="right"/>
    </xf>
    <xf numFmtId="0" fontId="9" fillId="0" borderId="0" xfId="0" applyFont="1"/>
    <xf numFmtId="0" fontId="9" fillId="0" borderId="10" xfId="0" applyFont="1" applyBorder="1"/>
    <xf numFmtId="2" fontId="9" fillId="0" borderId="0" xfId="0" applyNumberFormat="1" applyFont="1"/>
    <xf numFmtId="0" fontId="9" fillId="0" borderId="11" xfId="0" applyFont="1" applyBorder="1"/>
    <xf numFmtId="0" fontId="9" fillId="0" borderId="12" xfId="0" applyFont="1" applyBorder="1"/>
    <xf numFmtId="0" fontId="10" fillId="0" borderId="0" xfId="0" applyFont="1" applyAlignment="1">
      <alignment horizontal="center"/>
    </xf>
    <xf numFmtId="0" fontId="11" fillId="0" borderId="10" xfId="0" applyFont="1" applyBorder="1"/>
    <xf numFmtId="0" fontId="11" fillId="0" borderId="0" xfId="0" applyFont="1"/>
    <xf numFmtId="0" fontId="5" fillId="0" borderId="13" xfId="0" applyFont="1" applyBorder="1"/>
    <xf numFmtId="0" fontId="5" fillId="0" borderId="0" xfId="0" applyFont="1"/>
    <xf numFmtId="0" fontId="5" fillId="0" borderId="14" xfId="0" applyFont="1" applyBorder="1"/>
    <xf numFmtId="0" fontId="5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9" fillId="0" borderId="0" xfId="0" applyFont="1" applyProtection="1">
      <protection locked="0"/>
    </xf>
    <xf numFmtId="0" fontId="5" fillId="0" borderId="0" xfId="0" applyFont="1" applyAlignment="1">
      <alignment horizontal="right"/>
    </xf>
    <xf numFmtId="0" fontId="5" fillId="0" borderId="14" xfId="0" applyFont="1" applyBorder="1" applyAlignment="1">
      <alignment horizontal="right"/>
    </xf>
    <xf numFmtId="0" fontId="9" fillId="0" borderId="15" xfId="0" applyFont="1" applyBorder="1"/>
    <xf numFmtId="167" fontId="5" fillId="0" borderId="16" xfId="0" applyNumberFormat="1" applyFont="1" applyBorder="1"/>
    <xf numFmtId="165" fontId="5" fillId="0" borderId="10" xfId="0" applyNumberFormat="1" applyFont="1" applyBorder="1"/>
    <xf numFmtId="2" fontId="11" fillId="0" borderId="0" xfId="0" applyNumberFormat="1" applyFont="1"/>
    <xf numFmtId="0" fontId="9" fillId="0" borderId="0" xfId="0" applyFont="1" applyAlignment="1">
      <alignment horizontal="right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0" xfId="0" applyFont="1" applyAlignment="1">
      <alignment horizontal="center"/>
    </xf>
    <xf numFmtId="167" fontId="9" fillId="0" borderId="0" xfId="0" applyNumberFormat="1" applyFont="1" applyAlignment="1">
      <alignment horizontal="center"/>
    </xf>
    <xf numFmtId="167" fontId="9" fillId="0" borderId="17" xfId="0" applyNumberFormat="1" applyFont="1" applyBorder="1" applyAlignment="1">
      <alignment horizontal="center"/>
    </xf>
    <xf numFmtId="165" fontId="9" fillId="0" borderId="0" xfId="0" applyNumberFormat="1" applyFont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9" fillId="0" borderId="17" xfId="0" applyFont="1" applyBorder="1"/>
    <xf numFmtId="0" fontId="9" fillId="0" borderId="19" xfId="0" applyFont="1" applyBorder="1"/>
    <xf numFmtId="170" fontId="9" fillId="0" borderId="19" xfId="0" applyNumberFormat="1" applyFont="1" applyBorder="1"/>
    <xf numFmtId="0" fontId="9" fillId="0" borderId="14" xfId="0" applyFont="1" applyBorder="1"/>
    <xf numFmtId="170" fontId="9" fillId="0" borderId="14" xfId="0" applyNumberFormat="1" applyFont="1" applyBorder="1"/>
    <xf numFmtId="171" fontId="9" fillId="0" borderId="14" xfId="0" applyNumberFormat="1" applyFont="1" applyBorder="1"/>
    <xf numFmtId="171" fontId="9" fillId="0" borderId="0" xfId="0" applyNumberFormat="1" applyFont="1"/>
    <xf numFmtId="170" fontId="9" fillId="0" borderId="0" xfId="0" applyNumberFormat="1" applyFont="1"/>
    <xf numFmtId="172" fontId="9" fillId="0" borderId="0" xfId="42" applyNumberFormat="1" applyFont="1"/>
    <xf numFmtId="164" fontId="9" fillId="0" borderId="0" xfId="0" applyNumberFormat="1" applyFont="1"/>
    <xf numFmtId="165" fontId="9" fillId="0" borderId="0" xfId="0" applyNumberFormat="1" applyFont="1"/>
    <xf numFmtId="0" fontId="37" fillId="0" borderId="0" xfId="0" applyFont="1" applyAlignment="1" applyProtection="1">
      <alignment horizontal="left"/>
      <protection hidden="1"/>
    </xf>
    <xf numFmtId="0" fontId="6" fillId="0" borderId="0" xfId="0" applyFont="1" applyAlignment="1" applyProtection="1">
      <alignment horizontal="center"/>
      <protection hidden="1"/>
    </xf>
    <xf numFmtId="0" fontId="37" fillId="0" borderId="0" xfId="0" applyFont="1" applyProtection="1">
      <protection hidden="1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0" fontId="5" fillId="0" borderId="0" xfId="0" applyFont="1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7" fillId="24" borderId="19" xfId="0" applyFont="1" applyFill="1" applyBorder="1" applyAlignment="1" applyProtection="1">
      <alignment horizontal="center"/>
      <protection hidden="1"/>
    </xf>
    <xf numFmtId="0" fontId="7" fillId="24" borderId="19" xfId="0" applyFont="1" applyFill="1" applyBorder="1" applyAlignment="1" applyProtection="1">
      <alignment horizontal="left"/>
      <protection hidden="1"/>
    </xf>
    <xf numFmtId="0" fontId="7" fillId="24" borderId="39" xfId="0" applyFont="1" applyFill="1" applyBorder="1" applyAlignment="1" applyProtection="1">
      <alignment horizontal="left"/>
      <protection hidden="1"/>
    </xf>
    <xf numFmtId="0" fontId="7" fillId="24" borderId="17" xfId="0" applyFont="1" applyFill="1" applyBorder="1" applyAlignment="1" applyProtection="1">
      <alignment horizontal="left"/>
      <protection hidden="1"/>
    </xf>
    <xf numFmtId="0" fontId="7" fillId="24" borderId="21" xfId="0" applyFont="1" applyFill="1" applyBorder="1" applyAlignment="1" applyProtection="1">
      <alignment horizontal="left"/>
      <protection hidden="1"/>
    </xf>
    <xf numFmtId="0" fontId="7" fillId="24" borderId="22" xfId="0" applyFont="1" applyFill="1" applyBorder="1" applyAlignment="1" applyProtection="1">
      <alignment horizontal="left"/>
      <protection hidden="1"/>
    </xf>
    <xf numFmtId="0" fontId="7" fillId="24" borderId="21" xfId="0" applyFont="1" applyFill="1" applyBorder="1" applyProtection="1">
      <protection hidden="1"/>
    </xf>
    <xf numFmtId="0" fontId="7" fillId="24" borderId="24" xfId="0" applyFont="1" applyFill="1" applyBorder="1" applyAlignment="1" applyProtection="1">
      <alignment horizontal="left"/>
      <protection hidden="1"/>
    </xf>
    <xf numFmtId="0" fontId="7" fillId="24" borderId="100" xfId="0" applyFont="1" applyFill="1" applyBorder="1" applyAlignment="1" applyProtection="1">
      <alignment horizontal="left"/>
      <protection hidden="1"/>
    </xf>
    <xf numFmtId="0" fontId="45" fillId="24" borderId="95" xfId="0" applyFont="1" applyFill="1" applyBorder="1" applyAlignment="1" applyProtection="1">
      <alignment horizontal="center" vertical="center"/>
      <protection hidden="1"/>
    </xf>
    <xf numFmtId="49" fontId="7" fillId="24" borderId="40" xfId="0" applyNumberFormat="1" applyFont="1" applyFill="1" applyBorder="1" applyAlignment="1" applyProtection="1">
      <alignment horizontal="center"/>
      <protection locked="0" hidden="1"/>
    </xf>
    <xf numFmtId="49" fontId="7" fillId="24" borderId="42" xfId="0" applyNumberFormat="1" applyFont="1" applyFill="1" applyBorder="1" applyAlignment="1" applyProtection="1">
      <alignment horizontal="center"/>
      <protection locked="0" hidden="1"/>
    </xf>
    <xf numFmtId="2" fontId="7" fillId="24" borderId="71" xfId="0" applyNumberFormat="1" applyFont="1" applyFill="1" applyBorder="1" applyAlignment="1" applyProtection="1">
      <alignment horizontal="center"/>
      <protection hidden="1"/>
    </xf>
    <xf numFmtId="2" fontId="7" fillId="24" borderId="97" xfId="0" applyNumberFormat="1" applyFont="1" applyFill="1" applyBorder="1" applyAlignment="1" applyProtection="1">
      <alignment horizontal="center"/>
      <protection hidden="1"/>
    </xf>
    <xf numFmtId="0" fontId="1" fillId="24" borderId="24" xfId="0" applyFont="1" applyFill="1" applyBorder="1" applyAlignment="1" applyProtection="1">
      <alignment horizontal="left" vertical="center"/>
      <protection hidden="1"/>
    </xf>
    <xf numFmtId="0" fontId="32" fillId="24" borderId="24" xfId="0" applyFont="1" applyFill="1" applyBorder="1" applyAlignment="1" applyProtection="1">
      <alignment horizontal="center" vertical="center"/>
      <protection hidden="1"/>
    </xf>
    <xf numFmtId="0" fontId="7" fillId="24" borderId="43" xfId="0" applyFont="1" applyFill="1" applyBorder="1" applyAlignment="1" applyProtection="1">
      <alignment horizontal="left" vertical="center"/>
      <protection hidden="1"/>
    </xf>
    <xf numFmtId="3" fontId="7" fillId="24" borderId="44" xfId="0" applyNumberFormat="1" applyFont="1" applyFill="1" applyBorder="1" applyAlignment="1" applyProtection="1">
      <alignment horizontal="center"/>
      <protection hidden="1"/>
    </xf>
    <xf numFmtId="0" fontId="7" fillId="24" borderId="45" xfId="0" applyFont="1" applyFill="1" applyBorder="1" applyAlignment="1" applyProtection="1">
      <alignment horizontal="center"/>
      <protection hidden="1"/>
    </xf>
    <xf numFmtId="0" fontId="1" fillId="24" borderId="47" xfId="0" applyFont="1" applyFill="1" applyBorder="1" applyAlignment="1" applyProtection="1">
      <alignment horizontal="center" vertical="center"/>
      <protection hidden="1"/>
    </xf>
    <xf numFmtId="165" fontId="34" fillId="24" borderId="64" xfId="0" applyNumberFormat="1" applyFont="1" applyFill="1" applyBorder="1" applyAlignment="1" applyProtection="1">
      <alignment horizontal="center" vertical="center"/>
      <protection hidden="1"/>
    </xf>
    <xf numFmtId="0" fontId="34" fillId="24" borderId="64" xfId="0" applyFont="1" applyFill="1" applyBorder="1" applyAlignment="1" applyProtection="1">
      <alignment horizontal="center" vertical="center"/>
      <protection hidden="1"/>
    </xf>
    <xf numFmtId="167" fontId="7" fillId="24" borderId="64" xfId="0" applyNumberFormat="1" applyFont="1" applyFill="1" applyBorder="1" applyAlignment="1" applyProtection="1">
      <alignment horizontal="center"/>
      <protection hidden="1"/>
    </xf>
    <xf numFmtId="0" fontId="34" fillId="24" borderId="24" xfId="0" applyFont="1" applyFill="1" applyBorder="1" applyAlignment="1" applyProtection="1">
      <alignment horizontal="center" vertical="center"/>
      <protection hidden="1"/>
    </xf>
    <xf numFmtId="167" fontId="7" fillId="24" borderId="24" xfId="0" applyNumberFormat="1" applyFont="1" applyFill="1" applyBorder="1" applyAlignment="1" applyProtection="1">
      <alignment horizontal="center"/>
      <protection hidden="1"/>
    </xf>
    <xf numFmtId="0" fontId="41" fillId="24" borderId="74" xfId="0" applyFont="1" applyFill="1" applyBorder="1" applyAlignment="1" applyProtection="1">
      <alignment horizontal="center" vertical="center"/>
      <protection hidden="1"/>
    </xf>
    <xf numFmtId="2" fontId="34" fillId="24" borderId="24" xfId="0" applyNumberFormat="1" applyFont="1" applyFill="1" applyBorder="1" applyAlignment="1" applyProtection="1">
      <alignment horizontal="center" vertical="center"/>
      <protection hidden="1"/>
    </xf>
    <xf numFmtId="2" fontId="33" fillId="24" borderId="74" xfId="0" applyNumberFormat="1" applyFont="1" applyFill="1" applyBorder="1" applyAlignment="1" applyProtection="1">
      <alignment horizontal="center" vertical="center"/>
      <protection hidden="1"/>
    </xf>
    <xf numFmtId="1" fontId="42" fillId="24" borderId="51" xfId="0" applyNumberFormat="1" applyFont="1" applyFill="1" applyBorder="1" applyProtection="1">
      <protection hidden="1"/>
    </xf>
    <xf numFmtId="9" fontId="7" fillId="24" borderId="53" xfId="0" applyNumberFormat="1" applyFont="1" applyFill="1" applyBorder="1" applyAlignment="1" applyProtection="1">
      <alignment horizontal="center"/>
      <protection hidden="1"/>
    </xf>
    <xf numFmtId="1" fontId="42" fillId="24" borderId="44" xfId="0" applyNumberFormat="1" applyFont="1" applyFill="1" applyBorder="1" applyProtection="1">
      <protection hidden="1"/>
    </xf>
    <xf numFmtId="1" fontId="7" fillId="24" borderId="97" xfId="0" applyNumberFormat="1" applyFont="1" applyFill="1" applyBorder="1" applyProtection="1">
      <protection locked="0" hidden="1"/>
    </xf>
    <xf numFmtId="3" fontId="7" fillId="24" borderId="42" xfId="0" applyNumberFormat="1" applyFont="1" applyFill="1" applyBorder="1" applyAlignment="1" applyProtection="1">
      <alignment horizontal="right"/>
      <protection locked="0" hidden="1"/>
    </xf>
    <xf numFmtId="0" fontId="39" fillId="24" borderId="94" xfId="0" applyFont="1" applyFill="1" applyBorder="1" applyAlignment="1" applyProtection="1">
      <alignment horizontal="left"/>
      <protection hidden="1"/>
    </xf>
    <xf numFmtId="0" fontId="6" fillId="24" borderId="23" xfId="0" applyFont="1" applyFill="1" applyBorder="1" applyAlignment="1" applyProtection="1">
      <alignment horizontal="left"/>
      <protection hidden="1"/>
    </xf>
    <xf numFmtId="0" fontId="6" fillId="24" borderId="0" xfId="0" applyFont="1" applyFill="1" applyAlignment="1" applyProtection="1">
      <alignment horizontal="left"/>
      <protection hidden="1"/>
    </xf>
    <xf numFmtId="0" fontId="6" fillId="24" borderId="0" xfId="0" applyFont="1" applyFill="1" applyProtection="1">
      <protection hidden="1"/>
    </xf>
    <xf numFmtId="0" fontId="6" fillId="24" borderId="25" xfId="0" applyFont="1" applyFill="1" applyBorder="1" applyAlignment="1" applyProtection="1">
      <alignment horizontal="left"/>
      <protection hidden="1"/>
    </xf>
    <xf numFmtId="0" fontId="2" fillId="24" borderId="23" xfId="0" applyFont="1" applyFill="1" applyBorder="1" applyAlignment="1" applyProtection="1">
      <alignment horizontal="left"/>
      <protection hidden="1"/>
    </xf>
    <xf numFmtId="0" fontId="2" fillId="24" borderId="0" xfId="0" applyFont="1" applyFill="1" applyAlignment="1" applyProtection="1">
      <alignment horizontal="left"/>
      <protection hidden="1"/>
    </xf>
    <xf numFmtId="0" fontId="2" fillId="24" borderId="25" xfId="0" applyFont="1" applyFill="1" applyBorder="1" applyAlignment="1" applyProtection="1">
      <alignment horizontal="left"/>
      <protection hidden="1"/>
    </xf>
    <xf numFmtId="0" fontId="7" fillId="24" borderId="0" xfId="0" applyFont="1" applyFill="1" applyAlignment="1" applyProtection="1">
      <alignment horizontal="left" vertical="center"/>
      <protection hidden="1"/>
    </xf>
    <xf numFmtId="0" fontId="7" fillId="24" borderId="0" xfId="0" applyFont="1" applyFill="1" applyAlignment="1" applyProtection="1">
      <alignment vertical="center"/>
      <protection hidden="1"/>
    </xf>
    <xf numFmtId="0" fontId="1" fillId="24" borderId="25" xfId="0" applyFont="1" applyFill="1" applyBorder="1" applyProtection="1">
      <protection hidden="1"/>
    </xf>
    <xf numFmtId="0" fontId="1" fillId="24" borderId="58" xfId="0" applyFont="1" applyFill="1" applyBorder="1" applyAlignment="1">
      <alignment horizontal="center" vertical="top"/>
    </xf>
    <xf numFmtId="0" fontId="1" fillId="24" borderId="18" xfId="0" applyFont="1" applyFill="1" applyBorder="1" applyAlignment="1" applyProtection="1">
      <alignment horizontal="center"/>
      <protection hidden="1"/>
    </xf>
    <xf numFmtId="0" fontId="1" fillId="24" borderId="21" xfId="0" applyFont="1" applyFill="1" applyBorder="1" applyAlignment="1" applyProtection="1">
      <alignment horizontal="left"/>
      <protection hidden="1"/>
    </xf>
    <xf numFmtId="0" fontId="1" fillId="24" borderId="22" xfId="0" applyFont="1" applyFill="1" applyBorder="1" applyAlignment="1" applyProtection="1">
      <alignment horizontal="left"/>
      <protection hidden="1"/>
    </xf>
    <xf numFmtId="0" fontId="1" fillId="24" borderId="21" xfId="0" applyFont="1" applyFill="1" applyBorder="1" applyProtection="1">
      <protection hidden="1"/>
    </xf>
    <xf numFmtId="0" fontId="1" fillId="24" borderId="24" xfId="0" applyFont="1" applyFill="1" applyBorder="1" applyAlignment="1" applyProtection="1">
      <alignment horizontal="center"/>
      <protection hidden="1"/>
    </xf>
    <xf numFmtId="0" fontId="1" fillId="24" borderId="72" xfId="0" applyFont="1" applyFill="1" applyBorder="1" applyAlignment="1" applyProtection="1">
      <alignment horizontal="left" vertical="center"/>
      <protection hidden="1"/>
    </xf>
    <xf numFmtId="2" fontId="1" fillId="24" borderId="71" xfId="0" applyNumberFormat="1" applyFont="1" applyFill="1" applyBorder="1" applyAlignment="1" applyProtection="1">
      <alignment horizontal="center"/>
      <protection locked="0" hidden="1"/>
    </xf>
    <xf numFmtId="2" fontId="1" fillId="24" borderId="97" xfId="0" applyNumberFormat="1" applyFont="1" applyFill="1" applyBorder="1" applyAlignment="1" applyProtection="1">
      <alignment horizontal="center"/>
      <protection locked="0" hidden="1"/>
    </xf>
    <xf numFmtId="0" fontId="1" fillId="24" borderId="15" xfId="0" applyFont="1" applyFill="1" applyBorder="1" applyAlignment="1" applyProtection="1">
      <alignment horizontal="left" vertical="center"/>
      <protection hidden="1"/>
    </xf>
    <xf numFmtId="2" fontId="1" fillId="24" borderId="16" xfId="0" applyNumberFormat="1" applyFont="1" applyFill="1" applyBorder="1" applyAlignment="1" applyProtection="1">
      <alignment horizontal="center"/>
      <protection locked="0" hidden="1"/>
    </xf>
    <xf numFmtId="2" fontId="1" fillId="24" borderId="73" xfId="0" applyNumberFormat="1" applyFont="1" applyFill="1" applyBorder="1" applyAlignment="1" applyProtection="1">
      <alignment horizontal="center"/>
      <protection locked="0" hidden="1"/>
    </xf>
    <xf numFmtId="0" fontId="1" fillId="24" borderId="44" xfId="0" applyFont="1" applyFill="1" applyBorder="1" applyAlignment="1" applyProtection="1">
      <alignment horizontal="left" vertical="center"/>
      <protection hidden="1"/>
    </xf>
    <xf numFmtId="2" fontId="7" fillId="24" borderId="43" xfId="0" applyNumberFormat="1" applyFont="1" applyFill="1" applyBorder="1" applyAlignment="1" applyProtection="1">
      <alignment horizontal="center"/>
      <protection hidden="1"/>
    </xf>
    <xf numFmtId="0" fontId="1" fillId="24" borderId="103" xfId="0" applyFont="1" applyFill="1" applyBorder="1" applyAlignment="1" applyProtection="1">
      <alignment horizontal="left" vertical="center"/>
      <protection hidden="1"/>
    </xf>
    <xf numFmtId="0" fontId="1" fillId="24" borderId="74" xfId="0" applyFont="1" applyFill="1" applyBorder="1" applyAlignment="1" applyProtection="1">
      <alignment horizontal="left" vertical="center"/>
      <protection hidden="1"/>
    </xf>
    <xf numFmtId="0" fontId="1" fillId="24" borderId="24" xfId="0" applyFont="1" applyFill="1" applyBorder="1" applyAlignment="1" applyProtection="1">
      <alignment horizontal="left"/>
      <protection hidden="1"/>
    </xf>
    <xf numFmtId="0" fontId="1" fillId="24" borderId="105" xfId="0" applyFont="1" applyFill="1" applyBorder="1" applyAlignment="1" applyProtection="1">
      <alignment horizontal="left" vertical="center"/>
      <protection hidden="1"/>
    </xf>
    <xf numFmtId="0" fontId="1" fillId="24" borderId="52" xfId="0" applyFont="1" applyFill="1" applyBorder="1" applyAlignment="1" applyProtection="1">
      <alignment horizontal="left" vertical="center"/>
      <protection hidden="1"/>
    </xf>
    <xf numFmtId="0" fontId="1" fillId="24" borderId="53" xfId="0" applyFont="1" applyFill="1" applyBorder="1" applyAlignment="1" applyProtection="1">
      <alignment horizontal="left" vertical="center"/>
      <protection hidden="1"/>
    </xf>
    <xf numFmtId="0" fontId="1" fillId="24" borderId="60" xfId="0" applyFont="1" applyFill="1" applyBorder="1" applyAlignment="1" applyProtection="1">
      <alignment horizontal="left" vertical="center"/>
      <protection hidden="1"/>
    </xf>
    <xf numFmtId="0" fontId="1" fillId="24" borderId="0" xfId="0" applyFont="1" applyFill="1" applyProtection="1">
      <protection hidden="1"/>
    </xf>
    <xf numFmtId="174" fontId="36" fillId="24" borderId="46" xfId="0" applyNumberFormat="1" applyFont="1" applyFill="1" applyBorder="1" applyAlignment="1" applyProtection="1">
      <alignment horizontal="center" vertical="center"/>
      <protection hidden="1"/>
    </xf>
    <xf numFmtId="0" fontId="1" fillId="24" borderId="31" xfId="0" applyFont="1" applyFill="1" applyBorder="1" applyAlignment="1" applyProtection="1">
      <alignment horizontal="center"/>
      <protection hidden="1"/>
    </xf>
    <xf numFmtId="0" fontId="1" fillId="24" borderId="36" xfId="0" applyFont="1" applyFill="1" applyBorder="1" applyAlignment="1" applyProtection="1">
      <alignment horizontal="center"/>
      <protection hidden="1"/>
    </xf>
    <xf numFmtId="0" fontId="1" fillId="24" borderId="48" xfId="0" applyFont="1" applyFill="1" applyBorder="1" applyAlignment="1" applyProtection="1">
      <alignment horizontal="center" vertical="center" wrapText="1"/>
      <protection hidden="1"/>
    </xf>
    <xf numFmtId="0" fontId="1" fillId="24" borderId="49" xfId="0" applyFont="1" applyFill="1" applyBorder="1" applyAlignment="1" applyProtection="1">
      <alignment horizontal="center" vertical="center" wrapText="1"/>
      <protection hidden="1"/>
    </xf>
    <xf numFmtId="0" fontId="1" fillId="24" borderId="49" xfId="0" applyFont="1" applyFill="1" applyBorder="1" applyAlignment="1" applyProtection="1">
      <alignment horizontal="center"/>
      <protection hidden="1"/>
    </xf>
    <xf numFmtId="0" fontId="1" fillId="24" borderId="48" xfId="0" applyFont="1" applyFill="1" applyBorder="1" applyAlignment="1" applyProtection="1">
      <alignment horizontal="center"/>
      <protection hidden="1"/>
    </xf>
    <xf numFmtId="2" fontId="1" fillId="24" borderId="64" xfId="0" applyNumberFormat="1" applyFont="1" applyFill="1" applyBorder="1" applyProtection="1">
      <protection hidden="1"/>
    </xf>
    <xf numFmtId="2" fontId="1" fillId="24" borderId="37" xfId="0" applyNumberFormat="1" applyFont="1" applyFill="1" applyBorder="1" applyProtection="1">
      <protection hidden="1"/>
    </xf>
    <xf numFmtId="2" fontId="1" fillId="24" borderId="24" xfId="0" applyNumberFormat="1" applyFont="1" applyFill="1" applyBorder="1" applyProtection="1">
      <protection hidden="1"/>
    </xf>
    <xf numFmtId="167" fontId="1" fillId="24" borderId="24" xfId="0" applyNumberFormat="1" applyFont="1" applyFill="1" applyBorder="1" applyAlignment="1" applyProtection="1">
      <alignment horizontal="center"/>
      <protection hidden="1"/>
    </xf>
    <xf numFmtId="2" fontId="1" fillId="24" borderId="35" xfId="0" applyNumberFormat="1" applyFont="1" applyFill="1" applyBorder="1" applyProtection="1">
      <protection hidden="1"/>
    </xf>
    <xf numFmtId="2" fontId="1" fillId="24" borderId="38" xfId="0" applyNumberFormat="1" applyFont="1" applyFill="1" applyBorder="1" applyProtection="1">
      <protection hidden="1"/>
    </xf>
    <xf numFmtId="1" fontId="1" fillId="24" borderId="50" xfId="0" applyNumberFormat="1" applyFont="1" applyFill="1" applyBorder="1" applyProtection="1">
      <protection hidden="1"/>
    </xf>
    <xf numFmtId="1" fontId="1" fillId="24" borderId="44" xfId="0" applyNumberFormat="1" applyFont="1" applyFill="1" applyBorder="1" applyProtection="1">
      <protection hidden="1"/>
    </xf>
    <xf numFmtId="9" fontId="7" fillId="24" borderId="52" xfId="0" applyNumberFormat="1" applyFont="1" applyFill="1" applyBorder="1" applyAlignment="1" applyProtection="1">
      <alignment horizontal="left"/>
      <protection hidden="1"/>
    </xf>
    <xf numFmtId="1" fontId="1" fillId="24" borderId="52" xfId="0" applyNumberFormat="1" applyFont="1" applyFill="1" applyBorder="1" applyProtection="1">
      <protection hidden="1"/>
    </xf>
    <xf numFmtId="174" fontId="7" fillId="24" borderId="52" xfId="0" applyNumberFormat="1" applyFont="1" applyFill="1" applyBorder="1" applyAlignment="1" applyProtection="1">
      <alignment horizontal="left"/>
      <protection hidden="1"/>
    </xf>
    <xf numFmtId="1" fontId="1" fillId="24" borderId="45" xfId="0" applyNumberFormat="1" applyFont="1" applyFill="1" applyBorder="1" applyProtection="1">
      <protection hidden="1"/>
    </xf>
    <xf numFmtId="0" fontId="1" fillId="24" borderId="23" xfId="0" applyFont="1" applyFill="1" applyBorder="1" applyAlignment="1" applyProtection="1">
      <alignment horizontal="center"/>
      <protection hidden="1"/>
    </xf>
    <xf numFmtId="0" fontId="1" fillId="24" borderId="0" xfId="0" applyFont="1" applyFill="1" applyAlignment="1" applyProtection="1">
      <alignment horizontal="center"/>
      <protection hidden="1"/>
    </xf>
    <xf numFmtId="0" fontId="1" fillId="24" borderId="23" xfId="0" applyFont="1" applyFill="1" applyBorder="1" applyProtection="1">
      <protection hidden="1"/>
    </xf>
    <xf numFmtId="165" fontId="1" fillId="24" borderId="0" xfId="0" applyNumberFormat="1" applyFont="1" applyFill="1" applyProtection="1">
      <protection hidden="1"/>
    </xf>
    <xf numFmtId="167" fontId="1" fillId="24" borderId="0" xfId="0" applyNumberFormat="1" applyFont="1" applyFill="1" applyProtection="1">
      <protection hidden="1"/>
    </xf>
    <xf numFmtId="1" fontId="1" fillId="24" borderId="97" xfId="0" applyNumberFormat="1" applyFont="1" applyFill="1" applyBorder="1" applyProtection="1">
      <protection hidden="1"/>
    </xf>
    <xf numFmtId="0" fontId="1" fillId="24" borderId="57" xfId="0" applyFont="1" applyFill="1" applyBorder="1" applyAlignment="1" applyProtection="1">
      <alignment horizontal="center"/>
      <protection hidden="1"/>
    </xf>
    <xf numFmtId="0" fontId="1" fillId="24" borderId="108" xfId="0" applyFont="1" applyFill="1" applyBorder="1" applyAlignment="1" applyProtection="1">
      <alignment horizontal="left"/>
      <protection hidden="1"/>
    </xf>
    <xf numFmtId="0" fontId="1" fillId="24" borderId="72" xfId="0" applyFont="1" applyFill="1" applyBorder="1" applyAlignment="1" applyProtection="1">
      <alignment horizontal="left"/>
      <protection hidden="1"/>
    </xf>
    <xf numFmtId="0" fontId="1" fillId="24" borderId="108" xfId="0" applyFont="1" applyFill="1" applyBorder="1" applyProtection="1">
      <protection hidden="1"/>
    </xf>
    <xf numFmtId="0" fontId="1" fillId="24" borderId="72" xfId="0" applyFont="1" applyFill="1" applyBorder="1" applyProtection="1">
      <protection hidden="1"/>
    </xf>
    <xf numFmtId="3" fontId="1" fillId="24" borderId="97" xfId="0" applyNumberFormat="1" applyFont="1" applyFill="1" applyBorder="1" applyProtection="1">
      <protection hidden="1"/>
    </xf>
    <xf numFmtId="0" fontId="1" fillId="24" borderId="107" xfId="0" applyFont="1" applyFill="1" applyBorder="1" applyAlignment="1" applyProtection="1">
      <alignment horizontal="left"/>
      <protection hidden="1"/>
    </xf>
    <xf numFmtId="0" fontId="1" fillId="24" borderId="44" xfId="0" applyFont="1" applyFill="1" applyBorder="1" applyAlignment="1" applyProtection="1">
      <alignment horizontal="left"/>
      <protection hidden="1"/>
    </xf>
    <xf numFmtId="0" fontId="1" fillId="24" borderId="57" xfId="0" applyFont="1" applyFill="1" applyBorder="1" applyProtection="1">
      <protection hidden="1"/>
    </xf>
    <xf numFmtId="4" fontId="1" fillId="24" borderId="97" xfId="0" applyNumberFormat="1" applyFont="1" applyFill="1" applyBorder="1" applyProtection="1">
      <protection hidden="1"/>
    </xf>
    <xf numFmtId="164" fontId="1" fillId="24" borderId="97" xfId="0" applyNumberFormat="1" applyFont="1" applyFill="1" applyBorder="1" applyProtection="1">
      <protection hidden="1"/>
    </xf>
    <xf numFmtId="2" fontId="1" fillId="24" borderId="97" xfId="0" applyNumberFormat="1" applyFont="1" applyFill="1" applyBorder="1" applyProtection="1">
      <protection hidden="1"/>
    </xf>
    <xf numFmtId="2" fontId="1" fillId="24" borderId="111" xfId="0" applyNumberFormat="1" applyFont="1" applyFill="1" applyBorder="1" applyProtection="1">
      <protection hidden="1"/>
    </xf>
    <xf numFmtId="2" fontId="1" fillId="24" borderId="97" xfId="0" applyNumberFormat="1" applyFont="1" applyFill="1" applyBorder="1" applyAlignment="1" applyProtection="1">
      <alignment horizontal="right"/>
      <protection hidden="1"/>
    </xf>
    <xf numFmtId="0" fontId="1" fillId="24" borderId="50" xfId="0" applyFont="1" applyFill="1" applyBorder="1" applyProtection="1">
      <protection hidden="1"/>
    </xf>
    <xf numFmtId="0" fontId="1" fillId="24" borderId="44" xfId="0" applyFont="1" applyFill="1" applyBorder="1" applyProtection="1">
      <protection hidden="1"/>
    </xf>
    <xf numFmtId="0" fontId="1" fillId="24" borderId="54" xfId="0" applyFont="1" applyFill="1" applyBorder="1" applyProtection="1">
      <protection hidden="1"/>
    </xf>
    <xf numFmtId="2" fontId="1" fillId="24" borderId="112" xfId="0" applyNumberFormat="1" applyFont="1" applyFill="1" applyBorder="1" applyAlignment="1" applyProtection="1">
      <alignment horizontal="right"/>
      <protection hidden="1"/>
    </xf>
    <xf numFmtId="0" fontId="1" fillId="24" borderId="94" xfId="0" applyFont="1" applyFill="1" applyBorder="1" applyProtection="1">
      <protection hidden="1"/>
    </xf>
    <xf numFmtId="0" fontId="1" fillId="24" borderId="55" xfId="0" applyFont="1" applyFill="1" applyBorder="1" applyAlignment="1" applyProtection="1">
      <alignment vertical="center"/>
      <protection hidden="1"/>
    </xf>
    <xf numFmtId="0" fontId="1" fillId="24" borderId="55" xfId="0" applyFont="1" applyFill="1" applyBorder="1" applyProtection="1">
      <protection hidden="1"/>
    </xf>
    <xf numFmtId="0" fontId="1" fillId="24" borderId="56" xfId="0" applyFont="1" applyFill="1" applyBorder="1" applyProtection="1">
      <protection hidden="1"/>
    </xf>
    <xf numFmtId="0" fontId="1" fillId="24" borderId="50" xfId="0" applyFont="1" applyFill="1" applyBorder="1" applyAlignment="1" applyProtection="1">
      <alignment vertical="center"/>
      <protection hidden="1"/>
    </xf>
    <xf numFmtId="0" fontId="1" fillId="24" borderId="44" xfId="0" applyFont="1" applyFill="1" applyBorder="1" applyAlignment="1" applyProtection="1">
      <alignment vertical="center"/>
      <protection hidden="1"/>
    </xf>
    <xf numFmtId="0" fontId="1" fillId="24" borderId="55" xfId="0" applyFont="1" applyFill="1" applyBorder="1" applyAlignment="1" applyProtection="1">
      <alignment horizontal="left"/>
      <protection hidden="1"/>
    </xf>
    <xf numFmtId="0" fontId="1" fillId="24" borderId="56" xfId="0" applyFont="1" applyFill="1" applyBorder="1" applyAlignment="1" applyProtection="1">
      <alignment horizontal="left"/>
      <protection hidden="1"/>
    </xf>
    <xf numFmtId="0" fontId="1" fillId="24" borderId="94" xfId="0" applyFont="1" applyFill="1" applyBorder="1" applyAlignment="1" applyProtection="1">
      <alignment horizontal="left"/>
      <protection hidden="1"/>
    </xf>
    <xf numFmtId="0" fontId="1" fillId="24" borderId="0" xfId="0" applyFont="1" applyFill="1" applyAlignment="1" applyProtection="1">
      <alignment horizontal="left"/>
      <protection hidden="1"/>
    </xf>
    <xf numFmtId="0" fontId="1" fillId="24" borderId="25" xfId="0" applyFont="1" applyFill="1" applyBorder="1" applyAlignment="1" applyProtection="1">
      <alignment horizontal="left"/>
      <protection hidden="1"/>
    </xf>
    <xf numFmtId="0" fontId="1" fillId="24" borderId="23" xfId="0" applyFont="1" applyFill="1" applyBorder="1" applyAlignment="1" applyProtection="1">
      <alignment horizontal="left" vertical="center"/>
      <protection hidden="1"/>
    </xf>
    <xf numFmtId="0" fontId="1" fillId="24" borderId="23" xfId="0" applyFont="1" applyFill="1" applyBorder="1" applyAlignment="1" applyProtection="1">
      <alignment horizontal="left"/>
      <protection hidden="1"/>
    </xf>
    <xf numFmtId="0" fontId="1" fillId="24" borderId="0" xfId="0" applyFont="1" applyFill="1" applyAlignment="1">
      <alignment vertical="top"/>
    </xf>
    <xf numFmtId="0" fontId="1" fillId="24" borderId="58" xfId="0" applyFont="1" applyFill="1" applyBorder="1" applyProtection="1">
      <protection hidden="1"/>
    </xf>
    <xf numFmtId="0" fontId="1" fillId="24" borderId="11" xfId="0" applyFont="1" applyFill="1" applyBorder="1" applyProtection="1">
      <protection hidden="1"/>
    </xf>
    <xf numFmtId="0" fontId="1" fillId="24" borderId="26" xfId="0" applyFont="1" applyFill="1" applyBorder="1" applyAlignment="1">
      <alignment vertical="top"/>
    </xf>
    <xf numFmtId="0" fontId="1" fillId="24" borderId="11" xfId="0" applyFont="1" applyFill="1" applyBorder="1" applyAlignment="1">
      <alignment horizontal="center" vertical="top"/>
    </xf>
    <xf numFmtId="0" fontId="1" fillId="24" borderId="26" xfId="0" applyFont="1" applyFill="1" applyBorder="1" applyProtection="1">
      <protection hidden="1"/>
    </xf>
    <xf numFmtId="0" fontId="7" fillId="24" borderId="22" xfId="0" applyFont="1" applyFill="1" applyBorder="1" applyAlignment="1" applyProtection="1">
      <alignment horizontal="center"/>
      <protection hidden="1"/>
    </xf>
    <xf numFmtId="0" fontId="7" fillId="24" borderId="0" xfId="0" applyFont="1" applyFill="1" applyAlignment="1" applyProtection="1">
      <alignment horizontal="left"/>
      <protection hidden="1"/>
    </xf>
    <xf numFmtId="0" fontId="7" fillId="24" borderId="25" xfId="0" applyFont="1" applyFill="1" applyBorder="1" applyAlignment="1" applyProtection="1">
      <alignment horizontal="center"/>
      <protection hidden="1"/>
    </xf>
    <xf numFmtId="0" fontId="1" fillId="24" borderId="13" xfId="0" applyFont="1" applyFill="1" applyBorder="1" applyAlignment="1" applyProtection="1">
      <alignment horizontal="left"/>
      <protection hidden="1"/>
    </xf>
    <xf numFmtId="0" fontId="6" fillId="24" borderId="24" xfId="0" applyFont="1" applyFill="1" applyBorder="1" applyAlignment="1" applyProtection="1">
      <alignment horizontal="center" vertical="center" wrapText="1"/>
      <protection hidden="1"/>
    </xf>
    <xf numFmtId="49" fontId="7" fillId="24" borderId="74" xfId="0" applyNumberFormat="1" applyFont="1" applyFill="1" applyBorder="1" applyAlignment="1" applyProtection="1">
      <alignment horizontal="center"/>
      <protection locked="0" hidden="1"/>
    </xf>
    <xf numFmtId="2" fontId="7" fillId="24" borderId="74" xfId="0" applyNumberFormat="1" applyFont="1" applyFill="1" applyBorder="1" applyAlignment="1" applyProtection="1">
      <alignment horizontal="center"/>
      <protection locked="0" hidden="1"/>
    </xf>
    <xf numFmtId="2" fontId="7" fillId="24" borderId="74" xfId="0" applyNumberFormat="1" applyFont="1" applyFill="1" applyBorder="1" applyAlignment="1" applyProtection="1">
      <alignment horizontal="center" vertical="center"/>
      <protection locked="0" hidden="1"/>
    </xf>
    <xf numFmtId="164" fontId="7" fillId="24" borderId="97" xfId="42" applyFont="1" applyFill="1" applyBorder="1" applyAlignment="1" applyProtection="1">
      <alignment horizontal="center" vertical="center"/>
      <protection hidden="1"/>
    </xf>
    <xf numFmtId="166" fontId="7" fillId="24" borderId="111" xfId="42" applyNumberFormat="1" applyFont="1" applyFill="1" applyBorder="1" applyAlignment="1" applyProtection="1">
      <alignment horizontal="center"/>
      <protection hidden="1"/>
    </xf>
    <xf numFmtId="0" fontId="2" fillId="24" borderId="99" xfId="0" quotePrefix="1" applyFont="1" applyFill="1" applyBorder="1" applyAlignment="1" applyProtection="1">
      <alignment horizontal="center"/>
      <protection hidden="1"/>
    </xf>
    <xf numFmtId="0" fontId="2" fillId="24" borderId="24" xfId="0" applyFont="1" applyFill="1" applyBorder="1" applyAlignment="1" applyProtection="1">
      <alignment horizontal="center"/>
      <protection hidden="1"/>
    </xf>
    <xf numFmtId="0" fontId="2" fillId="24" borderId="24" xfId="0" quotePrefix="1" applyFont="1" applyFill="1" applyBorder="1" applyAlignment="1" applyProtection="1">
      <alignment horizontal="center"/>
      <protection hidden="1"/>
    </xf>
    <xf numFmtId="0" fontId="2" fillId="24" borderId="97" xfId="0" applyFont="1" applyFill="1" applyBorder="1" applyAlignment="1" applyProtection="1">
      <alignment horizontal="center"/>
      <protection hidden="1"/>
    </xf>
    <xf numFmtId="0" fontId="1" fillId="24" borderId="101" xfId="0" applyFont="1" applyFill="1" applyBorder="1" applyAlignment="1" applyProtection="1">
      <alignment horizontal="center" vertical="center"/>
      <protection hidden="1"/>
    </xf>
    <xf numFmtId="49" fontId="1" fillId="24" borderId="19" xfId="0" applyNumberFormat="1" applyFont="1" applyFill="1" applyBorder="1" applyAlignment="1" applyProtection="1">
      <alignment horizontal="center" vertical="center"/>
      <protection locked="0" hidden="1"/>
    </xf>
    <xf numFmtId="2" fontId="1" fillId="24" borderId="19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104" xfId="0" applyFont="1" applyFill="1" applyBorder="1" applyAlignment="1" applyProtection="1">
      <alignment horizontal="center" vertical="center"/>
      <protection hidden="1"/>
    </xf>
    <xf numFmtId="2" fontId="1" fillId="24" borderId="60" xfId="0" applyNumberFormat="1" applyFont="1" applyFill="1" applyBorder="1" applyAlignment="1" applyProtection="1">
      <alignment horizontal="center" vertical="center"/>
      <protection hidden="1"/>
    </xf>
    <xf numFmtId="0" fontId="1" fillId="24" borderId="62" xfId="0" applyFont="1" applyFill="1" applyBorder="1" applyProtection="1">
      <protection hidden="1"/>
    </xf>
    <xf numFmtId="0" fontId="13" fillId="24" borderId="0" xfId="0" applyFont="1" applyFill="1" applyAlignment="1" applyProtection="1">
      <alignment horizontal="left"/>
      <protection hidden="1"/>
    </xf>
    <xf numFmtId="2" fontId="1" fillId="24" borderId="23" xfId="0" applyNumberFormat="1" applyFont="1" applyFill="1" applyBorder="1" applyProtection="1">
      <protection hidden="1"/>
    </xf>
    <xf numFmtId="170" fontId="1" fillId="24" borderId="0" xfId="0" applyNumberFormat="1" applyFont="1" applyFill="1" applyProtection="1">
      <protection hidden="1"/>
    </xf>
    <xf numFmtId="2" fontId="1" fillId="24" borderId="0" xfId="0" applyNumberFormat="1" applyFont="1" applyFill="1" applyProtection="1">
      <protection hidden="1"/>
    </xf>
    <xf numFmtId="173" fontId="1" fillId="24" borderId="0" xfId="0" applyNumberFormat="1" applyFont="1" applyFill="1" applyProtection="1">
      <protection hidden="1"/>
    </xf>
    <xf numFmtId="0" fontId="1" fillId="24" borderId="20" xfId="0" applyFont="1" applyFill="1" applyBorder="1" applyProtection="1">
      <protection hidden="1"/>
    </xf>
    <xf numFmtId="2" fontId="6" fillId="24" borderId="21" xfId="0" applyNumberFormat="1" applyFont="1" applyFill="1" applyBorder="1" applyAlignment="1" applyProtection="1">
      <alignment horizontal="center" vertical="center"/>
      <protection hidden="1"/>
    </xf>
    <xf numFmtId="2" fontId="6" fillId="24" borderId="100" xfId="0" applyNumberFormat="1" applyFont="1" applyFill="1" applyBorder="1" applyAlignment="1" applyProtection="1">
      <alignment horizontal="center" vertical="center"/>
      <protection hidden="1"/>
    </xf>
    <xf numFmtId="1" fontId="6" fillId="24" borderId="59" xfId="0" applyNumberFormat="1" applyFont="1" applyFill="1" applyBorder="1" applyAlignment="1" applyProtection="1">
      <alignment horizontal="center" vertical="center"/>
      <protection hidden="1"/>
    </xf>
    <xf numFmtId="2" fontId="6" fillId="24" borderId="25" xfId="0" applyNumberFormat="1" applyFont="1" applyFill="1" applyBorder="1" applyAlignment="1" applyProtection="1">
      <alignment horizontal="center" vertical="center"/>
      <protection hidden="1"/>
    </xf>
    <xf numFmtId="2" fontId="6" fillId="24" borderId="63" xfId="0" applyNumberFormat="1" applyFont="1" applyFill="1" applyBorder="1" applyAlignment="1" applyProtection="1">
      <alignment horizontal="center" vertical="center"/>
      <protection hidden="1"/>
    </xf>
    <xf numFmtId="2" fontId="6" fillId="24" borderId="26" xfId="0" applyNumberFormat="1" applyFont="1" applyFill="1" applyBorder="1" applyAlignment="1" applyProtection="1">
      <alignment horizontal="center" vertical="center"/>
      <protection hidden="1"/>
    </xf>
    <xf numFmtId="49" fontId="1" fillId="24" borderId="0" xfId="0" applyNumberFormat="1" applyFont="1" applyFill="1" applyAlignment="1" applyProtection="1">
      <alignment horizontal="center" vertical="center"/>
      <protection hidden="1"/>
    </xf>
    <xf numFmtId="49" fontId="1" fillId="24" borderId="25" xfId="0" applyNumberFormat="1" applyFont="1" applyFill="1" applyBorder="1" applyAlignment="1" applyProtection="1">
      <alignment horizontal="center" vertical="center"/>
      <protection hidden="1"/>
    </xf>
    <xf numFmtId="49" fontId="1" fillId="24" borderId="11" xfId="0" applyNumberFormat="1" applyFont="1" applyFill="1" applyBorder="1" applyAlignment="1" applyProtection="1">
      <alignment horizontal="center" vertical="center"/>
      <protection hidden="1"/>
    </xf>
    <xf numFmtId="49" fontId="1" fillId="24" borderId="26" xfId="0" applyNumberFormat="1" applyFont="1" applyFill="1" applyBorder="1" applyAlignment="1" applyProtection="1">
      <alignment horizontal="center" vertical="center"/>
      <protection hidden="1"/>
    </xf>
    <xf numFmtId="0" fontId="1" fillId="24" borderId="0" xfId="0" applyFont="1" applyFill="1" applyAlignment="1" applyProtection="1">
      <alignment horizontal="center" vertical="center"/>
      <protection hidden="1"/>
    </xf>
    <xf numFmtId="0" fontId="1" fillId="24" borderId="25" xfId="0" applyFont="1" applyFill="1" applyBorder="1" applyAlignment="1" applyProtection="1">
      <alignment horizontal="center" vertical="center"/>
      <protection hidden="1"/>
    </xf>
    <xf numFmtId="0" fontId="6" fillId="24" borderId="25" xfId="0" applyFont="1" applyFill="1" applyBorder="1" applyAlignment="1" applyProtection="1">
      <alignment horizontal="left" vertical="center"/>
      <protection hidden="1"/>
    </xf>
    <xf numFmtId="0" fontId="1" fillId="24" borderId="11" xfId="0" applyFont="1" applyFill="1" applyBorder="1" applyAlignment="1" applyProtection="1">
      <alignment horizontal="center" vertical="center"/>
      <protection hidden="1"/>
    </xf>
    <xf numFmtId="0" fontId="1" fillId="24" borderId="26" xfId="0" applyFont="1" applyFill="1" applyBorder="1" applyAlignment="1" applyProtection="1">
      <alignment horizontal="center" vertical="center"/>
      <protection hidden="1"/>
    </xf>
    <xf numFmtId="0" fontId="6" fillId="24" borderId="27" xfId="0" applyFont="1" applyFill="1" applyBorder="1" applyProtection="1">
      <protection hidden="1"/>
    </xf>
    <xf numFmtId="0" fontId="1" fillId="24" borderId="33" xfId="0" applyFont="1" applyFill="1" applyBorder="1" applyProtection="1">
      <protection hidden="1"/>
    </xf>
    <xf numFmtId="0" fontId="35" fillId="24" borderId="28" xfId="0" applyFont="1" applyFill="1" applyBorder="1" applyAlignment="1" applyProtection="1">
      <alignment horizontal="center"/>
      <protection hidden="1"/>
    </xf>
    <xf numFmtId="14" fontId="47" fillId="24" borderId="29" xfId="0" applyNumberFormat="1" applyFont="1" applyFill="1" applyBorder="1" applyAlignment="1" applyProtection="1">
      <alignment horizontal="center"/>
      <protection hidden="1"/>
    </xf>
    <xf numFmtId="0" fontId="47" fillId="24" borderId="117" xfId="0" applyFont="1" applyFill="1" applyBorder="1" applyAlignment="1" applyProtection="1">
      <alignment horizontal="center" vertical="center"/>
      <protection hidden="1"/>
    </xf>
    <xf numFmtId="164" fontId="7" fillId="24" borderId="97" xfId="42" applyFont="1" applyFill="1" applyBorder="1" applyAlignment="1" applyProtection="1">
      <alignment horizontal="center"/>
      <protection hidden="1"/>
    </xf>
    <xf numFmtId="2" fontId="1" fillId="24" borderId="74" xfId="0" applyNumberFormat="1" applyFont="1" applyFill="1" applyBorder="1" applyAlignment="1" applyProtection="1">
      <alignment horizontal="center"/>
      <protection hidden="1"/>
    </xf>
    <xf numFmtId="168" fontId="6" fillId="24" borderId="59" xfId="0" applyNumberFormat="1" applyFont="1" applyFill="1" applyBorder="1" applyAlignment="1" applyProtection="1">
      <alignment horizontal="center" vertical="center"/>
      <protection hidden="1"/>
    </xf>
    <xf numFmtId="49" fontId="1" fillId="24" borderId="24" xfId="0" applyNumberFormat="1" applyFont="1" applyFill="1" applyBorder="1" applyAlignment="1" applyProtection="1">
      <alignment horizontal="center" vertical="center"/>
      <protection hidden="1"/>
    </xf>
    <xf numFmtId="172" fontId="7" fillId="24" borderId="113" xfId="42" applyNumberFormat="1" applyFont="1" applyFill="1" applyBorder="1" applyAlignment="1" applyProtection="1">
      <alignment horizontal="center"/>
      <protection locked="0" hidden="1"/>
    </xf>
    <xf numFmtId="172" fontId="7" fillId="24" borderId="113" xfId="42" applyNumberFormat="1" applyFont="1" applyFill="1" applyBorder="1" applyAlignment="1" applyProtection="1">
      <alignment horizontal="center"/>
      <protection hidden="1"/>
    </xf>
    <xf numFmtId="168" fontId="7" fillId="24" borderId="97" xfId="0" applyNumberFormat="1" applyFont="1" applyFill="1" applyBorder="1" applyProtection="1">
      <protection locked="0" hidden="1"/>
    </xf>
    <xf numFmtId="168" fontId="1" fillId="24" borderId="97" xfId="0" applyNumberFormat="1" applyFont="1" applyFill="1" applyBorder="1" applyProtection="1">
      <protection hidden="1"/>
    </xf>
    <xf numFmtId="168" fontId="7" fillId="24" borderId="24" xfId="0" applyNumberFormat="1" applyFont="1" applyFill="1" applyBorder="1" applyAlignment="1" applyProtection="1">
      <alignment horizontal="center" vertical="center"/>
      <protection hidden="1"/>
    </xf>
    <xf numFmtId="168" fontId="7" fillId="24" borderId="24" xfId="0" applyNumberFormat="1" applyFont="1" applyFill="1" applyBorder="1" applyAlignment="1" applyProtection="1">
      <alignment horizontal="center"/>
      <protection hidden="1"/>
    </xf>
    <xf numFmtId="168" fontId="7" fillId="24" borderId="45" xfId="0" applyNumberFormat="1" applyFont="1" applyFill="1" applyBorder="1" applyAlignment="1" applyProtection="1">
      <alignment horizontal="center"/>
      <protection hidden="1"/>
    </xf>
    <xf numFmtId="2" fontId="1" fillId="24" borderId="24" xfId="0" applyNumberFormat="1" applyFont="1" applyFill="1" applyBorder="1" applyAlignment="1" applyProtection="1">
      <alignment horizontal="center" vertical="center"/>
      <protection hidden="1"/>
    </xf>
    <xf numFmtId="2" fontId="1" fillId="24" borderId="24" xfId="0" applyNumberFormat="1" applyFont="1" applyFill="1" applyBorder="1" applyAlignment="1" applyProtection="1">
      <alignment horizontal="center" vertical="center"/>
      <protection locked="0" hidden="1"/>
    </xf>
    <xf numFmtId="2" fontId="5" fillId="0" borderId="0" xfId="0" applyNumberFormat="1" applyFont="1" applyProtection="1">
      <protection hidden="1"/>
    </xf>
    <xf numFmtId="168" fontId="5" fillId="0" borderId="0" xfId="0" applyNumberFormat="1" applyFont="1" applyProtection="1">
      <protection hidden="1"/>
    </xf>
    <xf numFmtId="168" fontId="1" fillId="24" borderId="112" xfId="0" applyNumberFormat="1" applyFont="1" applyFill="1" applyBorder="1" applyAlignment="1" applyProtection="1">
      <alignment horizontal="center" vertical="center"/>
      <protection hidden="1"/>
    </xf>
    <xf numFmtId="2" fontId="1" fillId="24" borderId="19" xfId="43" applyNumberFormat="1" applyFont="1" applyFill="1" applyBorder="1" applyAlignment="1" applyProtection="1">
      <alignment horizontal="center" vertical="center"/>
      <protection hidden="1"/>
    </xf>
    <xf numFmtId="2" fontId="1" fillId="24" borderId="70" xfId="0" applyNumberFormat="1" applyFont="1" applyFill="1" applyBorder="1" applyAlignment="1" applyProtection="1">
      <alignment horizontal="center"/>
      <protection hidden="1"/>
    </xf>
    <xf numFmtId="2" fontId="6" fillId="24" borderId="59" xfId="0" applyNumberFormat="1" applyFont="1" applyFill="1" applyBorder="1" applyAlignment="1" applyProtection="1">
      <alignment horizontal="center"/>
      <protection hidden="1"/>
    </xf>
    <xf numFmtId="0" fontId="32" fillId="24" borderId="64" xfId="0" applyFont="1" applyFill="1" applyBorder="1" applyAlignment="1" applyProtection="1">
      <alignment horizontal="center" vertical="center"/>
      <protection locked="0" hidden="1"/>
    </xf>
    <xf numFmtId="167" fontId="1" fillId="24" borderId="64" xfId="0" applyNumberFormat="1" applyFont="1" applyFill="1" applyBorder="1" applyAlignment="1" applyProtection="1">
      <alignment horizontal="center"/>
      <protection hidden="1"/>
    </xf>
    <xf numFmtId="0" fontId="32" fillId="24" borderId="24" xfId="0" applyFont="1" applyFill="1" applyBorder="1" applyAlignment="1" applyProtection="1">
      <alignment horizontal="center" vertical="center"/>
      <protection locked="0" hidden="1"/>
    </xf>
    <xf numFmtId="0" fontId="47" fillId="24" borderId="88" xfId="0" applyFont="1" applyFill="1" applyBorder="1" applyAlignment="1" applyProtection="1">
      <alignment horizontal="center" vertical="center"/>
      <protection hidden="1"/>
    </xf>
    <xf numFmtId="2" fontId="7" fillId="24" borderId="80" xfId="0" applyNumberFormat="1" applyFont="1" applyFill="1" applyBorder="1" applyAlignment="1" applyProtection="1">
      <alignment horizontal="center"/>
      <protection hidden="1"/>
    </xf>
    <xf numFmtId="2" fontId="7" fillId="24" borderId="44" xfId="0" applyNumberFormat="1" applyFont="1" applyFill="1" applyBorder="1" applyAlignment="1" applyProtection="1">
      <alignment horizontal="left" vertical="center"/>
      <protection hidden="1"/>
    </xf>
    <xf numFmtId="168" fontId="1" fillId="24" borderId="97" xfId="0" applyNumberFormat="1" applyFont="1" applyFill="1" applyBorder="1" applyAlignment="1" applyProtection="1">
      <alignment horizontal="right"/>
      <protection hidden="1"/>
    </xf>
    <xf numFmtId="0" fontId="7" fillId="24" borderId="20" xfId="0" applyFont="1" applyFill="1" applyBorder="1" applyAlignment="1" applyProtection="1">
      <alignment horizontal="left"/>
      <protection hidden="1"/>
    </xf>
    <xf numFmtId="0" fontId="7" fillId="24" borderId="21" xfId="0" applyFont="1" applyFill="1" applyBorder="1" applyAlignment="1" applyProtection="1">
      <alignment horizontal="left"/>
      <protection hidden="1"/>
    </xf>
    <xf numFmtId="0" fontId="48" fillId="24" borderId="87" xfId="0" applyFont="1" applyFill="1" applyBorder="1" applyAlignment="1">
      <alignment horizontal="center" vertical="center"/>
    </xf>
    <xf numFmtId="0" fontId="48" fillId="24" borderId="34" xfId="0" applyFont="1" applyFill="1" applyBorder="1" applyAlignment="1">
      <alignment horizontal="center" vertical="center"/>
    </xf>
    <xf numFmtId="0" fontId="48" fillId="24" borderId="118" xfId="0" applyFont="1" applyFill="1" applyBorder="1" applyAlignment="1">
      <alignment horizontal="center" vertical="center"/>
    </xf>
    <xf numFmtId="0" fontId="7" fillId="24" borderId="15" xfId="0" applyFont="1" applyFill="1" applyBorder="1" applyAlignment="1" applyProtection="1">
      <alignment horizontal="center"/>
      <protection locked="0" hidden="1"/>
    </xf>
    <xf numFmtId="0" fontId="7" fillId="24" borderId="70" xfId="0" applyFont="1" applyFill="1" applyBorder="1" applyAlignment="1" applyProtection="1">
      <alignment horizontal="center"/>
      <protection locked="0" hidden="1"/>
    </xf>
    <xf numFmtId="0" fontId="7" fillId="24" borderId="16" xfId="0" applyFont="1" applyFill="1" applyBorder="1" applyAlignment="1" applyProtection="1">
      <alignment horizontal="center"/>
      <protection locked="0" hidden="1"/>
    </xf>
    <xf numFmtId="49" fontId="7" fillId="24" borderId="0" xfId="0" applyNumberFormat="1" applyFont="1" applyFill="1" applyAlignment="1" applyProtection="1">
      <alignment horizontal="center" wrapText="1"/>
      <protection locked="0" hidden="1"/>
    </xf>
    <xf numFmtId="49" fontId="7" fillId="24" borderId="25" xfId="0" applyNumberFormat="1" applyFont="1" applyFill="1" applyBorder="1" applyAlignment="1" applyProtection="1">
      <alignment horizontal="center" wrapText="1"/>
      <protection locked="0" hidden="1"/>
    </xf>
    <xf numFmtId="0" fontId="7" fillId="24" borderId="17" xfId="0" applyFont="1" applyFill="1" applyBorder="1" applyAlignment="1" applyProtection="1">
      <alignment horizontal="left" wrapText="1"/>
      <protection hidden="1"/>
    </xf>
    <xf numFmtId="0" fontId="7" fillId="24" borderId="100" xfId="0" applyFont="1" applyFill="1" applyBorder="1" applyAlignment="1" applyProtection="1">
      <alignment horizontal="left" wrapText="1"/>
      <protection hidden="1"/>
    </xf>
    <xf numFmtId="0" fontId="7" fillId="24" borderId="69" xfId="0" applyFont="1" applyFill="1" applyBorder="1" applyAlignment="1" applyProtection="1">
      <alignment horizontal="center"/>
      <protection hidden="1"/>
    </xf>
    <xf numFmtId="0" fontId="7" fillId="24" borderId="15" xfId="0" applyFont="1" applyFill="1" applyBorder="1" applyAlignment="1" applyProtection="1">
      <alignment horizontal="center"/>
      <protection hidden="1"/>
    </xf>
    <xf numFmtId="0" fontId="7" fillId="24" borderId="70" xfId="0" applyFont="1" applyFill="1" applyBorder="1" applyAlignment="1" applyProtection="1">
      <alignment horizontal="center"/>
      <protection hidden="1"/>
    </xf>
    <xf numFmtId="0" fontId="7" fillId="24" borderId="22" xfId="0" applyFont="1" applyFill="1" applyBorder="1" applyAlignment="1" applyProtection="1">
      <alignment horizontal="left"/>
      <protection hidden="1"/>
    </xf>
    <xf numFmtId="0" fontId="49" fillId="24" borderId="21" xfId="0" applyFont="1" applyFill="1" applyBorder="1" applyAlignment="1">
      <alignment horizontal="center" vertical="center" wrapText="1"/>
    </xf>
    <xf numFmtId="0" fontId="49" fillId="24" borderId="22" xfId="0" applyFont="1" applyFill="1" applyBorder="1" applyAlignment="1">
      <alignment horizontal="center" vertical="center" wrapText="1"/>
    </xf>
    <xf numFmtId="0" fontId="7" fillId="24" borderId="20" xfId="0" applyFont="1" applyFill="1" applyBorder="1" applyAlignment="1" applyProtection="1">
      <alignment horizontal="center" vertical="center"/>
      <protection hidden="1"/>
    </xf>
    <xf numFmtId="0" fontId="7" fillId="24" borderId="21" xfId="0" applyFont="1" applyFill="1" applyBorder="1" applyAlignment="1" applyProtection="1">
      <alignment horizontal="center" vertical="center"/>
      <protection hidden="1"/>
    </xf>
    <xf numFmtId="0" fontId="7" fillId="24" borderId="22" xfId="0" applyFont="1" applyFill="1" applyBorder="1" applyAlignment="1" applyProtection="1">
      <alignment horizontal="center" vertical="center"/>
      <protection hidden="1"/>
    </xf>
    <xf numFmtId="0" fontId="7" fillId="24" borderId="69" xfId="0" applyFont="1" applyFill="1" applyBorder="1" applyAlignment="1" applyProtection="1">
      <alignment horizontal="center" vertical="center"/>
      <protection hidden="1"/>
    </xf>
    <xf numFmtId="0" fontId="7" fillId="24" borderId="15" xfId="0" applyFont="1" applyFill="1" applyBorder="1" applyAlignment="1" applyProtection="1">
      <alignment horizontal="center" vertical="center"/>
      <protection hidden="1"/>
    </xf>
    <xf numFmtId="0" fontId="7" fillId="24" borderId="70" xfId="0" applyFont="1" applyFill="1" applyBorder="1" applyAlignment="1" applyProtection="1">
      <alignment horizontal="center" vertical="center"/>
      <protection hidden="1"/>
    </xf>
    <xf numFmtId="14" fontId="7" fillId="24" borderId="16" xfId="0" applyNumberFormat="1" applyFont="1" applyFill="1" applyBorder="1" applyAlignment="1" applyProtection="1">
      <alignment horizontal="center" wrapText="1"/>
      <protection locked="0" hidden="1"/>
    </xf>
    <xf numFmtId="0" fontId="7" fillId="24" borderId="68" xfId="0" applyFont="1" applyFill="1" applyBorder="1" applyAlignment="1" applyProtection="1">
      <alignment horizontal="center" wrapText="1"/>
      <protection locked="0" hidden="1"/>
    </xf>
    <xf numFmtId="2" fontId="7" fillId="24" borderId="16" xfId="0" applyNumberFormat="1" applyFont="1" applyFill="1" applyBorder="1" applyAlignment="1" applyProtection="1">
      <alignment horizontal="center"/>
      <protection locked="0" hidden="1"/>
    </xf>
    <xf numFmtId="0" fontId="7" fillId="24" borderId="10" xfId="0" applyFont="1" applyFill="1" applyBorder="1" applyAlignment="1" applyProtection="1">
      <alignment horizontal="left"/>
      <protection hidden="1"/>
    </xf>
    <xf numFmtId="0" fontId="7" fillId="24" borderId="0" xfId="0" applyFont="1" applyFill="1" applyAlignment="1" applyProtection="1">
      <alignment horizontal="left"/>
      <protection hidden="1"/>
    </xf>
    <xf numFmtId="0" fontId="7" fillId="24" borderId="25" xfId="0" applyFont="1" applyFill="1" applyBorder="1" applyAlignment="1" applyProtection="1">
      <alignment horizontal="left"/>
      <protection hidden="1"/>
    </xf>
    <xf numFmtId="0" fontId="7" fillId="24" borderId="17" xfId="0" applyFont="1" applyFill="1" applyBorder="1" applyAlignment="1" applyProtection="1">
      <alignment horizontal="center" vertical="center"/>
      <protection hidden="1"/>
    </xf>
    <xf numFmtId="0" fontId="7" fillId="24" borderId="16" xfId="0" applyFont="1" applyFill="1" applyBorder="1" applyAlignment="1" applyProtection="1">
      <alignment horizontal="center" vertical="center"/>
      <protection hidden="1"/>
    </xf>
    <xf numFmtId="0" fontId="1" fillId="24" borderId="71" xfId="0" applyFont="1" applyFill="1" applyBorder="1" applyAlignment="1" applyProtection="1">
      <alignment horizontal="left"/>
      <protection hidden="1"/>
    </xf>
    <xf numFmtId="0" fontId="1" fillId="24" borderId="72" xfId="0" applyFont="1" applyFill="1" applyBorder="1" applyAlignment="1" applyProtection="1">
      <alignment horizontal="left"/>
      <protection hidden="1"/>
    </xf>
    <xf numFmtId="0" fontId="1" fillId="24" borderId="74" xfId="0" applyFont="1" applyFill="1" applyBorder="1" applyAlignment="1" applyProtection="1">
      <alignment horizontal="left"/>
      <protection hidden="1"/>
    </xf>
    <xf numFmtId="0" fontId="1" fillId="24" borderId="50" xfId="0" applyFont="1" applyFill="1" applyBorder="1" applyAlignment="1" applyProtection="1">
      <alignment horizontal="left"/>
      <protection hidden="1"/>
    </xf>
    <xf numFmtId="0" fontId="1" fillId="24" borderId="44" xfId="0" applyFont="1" applyFill="1" applyBorder="1" applyAlignment="1" applyProtection="1">
      <alignment horizontal="left"/>
      <protection hidden="1"/>
    </xf>
    <xf numFmtId="0" fontId="1" fillId="24" borderId="45" xfId="0" applyFont="1" applyFill="1" applyBorder="1" applyAlignment="1" applyProtection="1">
      <alignment horizontal="left"/>
      <protection hidden="1"/>
    </xf>
    <xf numFmtId="0" fontId="1" fillId="24" borderId="69" xfId="0" applyFont="1" applyFill="1" applyBorder="1" applyAlignment="1" applyProtection="1">
      <alignment horizontal="left"/>
      <protection hidden="1"/>
    </xf>
    <xf numFmtId="0" fontId="1" fillId="24" borderId="15" xfId="0" applyFont="1" applyFill="1" applyBorder="1" applyAlignment="1" applyProtection="1">
      <alignment horizontal="left"/>
      <protection hidden="1"/>
    </xf>
    <xf numFmtId="0" fontId="1" fillId="24" borderId="70" xfId="0" applyFont="1" applyFill="1" applyBorder="1" applyAlignment="1" applyProtection="1">
      <alignment horizontal="left"/>
      <protection hidden="1"/>
    </xf>
    <xf numFmtId="9" fontId="7" fillId="24" borderId="12" xfId="0" applyNumberFormat="1" applyFont="1" applyFill="1" applyBorder="1" applyAlignment="1" applyProtection="1">
      <alignment horizontal="center"/>
      <protection locked="0" hidden="1"/>
    </xf>
    <xf numFmtId="9" fontId="7" fillId="24" borderId="11" xfId="0" applyNumberFormat="1" applyFont="1" applyFill="1" applyBorder="1" applyAlignment="1" applyProtection="1">
      <alignment horizontal="center"/>
      <protection locked="0" hidden="1"/>
    </xf>
    <xf numFmtId="9" fontId="7" fillId="24" borderId="26" xfId="0" applyNumberFormat="1" applyFont="1" applyFill="1" applyBorder="1" applyAlignment="1" applyProtection="1">
      <alignment horizontal="center"/>
      <protection locked="0" hidden="1"/>
    </xf>
    <xf numFmtId="0" fontId="7" fillId="24" borderId="71" xfId="0" applyFont="1" applyFill="1" applyBorder="1" applyAlignment="1" applyProtection="1">
      <alignment horizontal="center" vertical="center" wrapText="1"/>
      <protection hidden="1"/>
    </xf>
    <xf numFmtId="0" fontId="7" fillId="24" borderId="72" xfId="0" applyFont="1" applyFill="1" applyBorder="1" applyAlignment="1" applyProtection="1">
      <alignment horizontal="center" vertical="center" wrapText="1"/>
      <protection hidden="1"/>
    </xf>
    <xf numFmtId="0" fontId="7" fillId="24" borderId="113" xfId="0" applyFont="1" applyFill="1" applyBorder="1" applyAlignment="1" applyProtection="1">
      <alignment horizontal="center" vertical="center" wrapText="1"/>
      <protection hidden="1"/>
    </xf>
    <xf numFmtId="49" fontId="36" fillId="24" borderId="106" xfId="0" applyNumberFormat="1" applyFont="1" applyFill="1" applyBorder="1" applyAlignment="1" applyProtection="1">
      <alignment horizontal="center" vertical="center"/>
      <protection locked="0" hidden="1"/>
    </xf>
    <xf numFmtId="49" fontId="36" fillId="24" borderId="73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51" xfId="0" applyFont="1" applyFill="1" applyBorder="1" applyAlignment="1" applyProtection="1">
      <alignment horizontal="left"/>
      <protection hidden="1"/>
    </xf>
    <xf numFmtId="0" fontId="1" fillId="24" borderId="52" xfId="0" applyFont="1" applyFill="1" applyBorder="1" applyAlignment="1" applyProtection="1">
      <alignment horizontal="left"/>
      <protection hidden="1"/>
    </xf>
    <xf numFmtId="0" fontId="1" fillId="24" borderId="53" xfId="0" applyFont="1" applyFill="1" applyBorder="1" applyAlignment="1" applyProtection="1">
      <alignment horizontal="left"/>
      <protection hidden="1"/>
    </xf>
    <xf numFmtId="0" fontId="1" fillId="24" borderId="103" xfId="0" applyFont="1" applyFill="1" applyBorder="1" applyAlignment="1" applyProtection="1">
      <alignment horizontal="left"/>
      <protection hidden="1"/>
    </xf>
    <xf numFmtId="0" fontId="7" fillId="24" borderId="12" xfId="0" applyFont="1" applyFill="1" applyBorder="1" applyAlignment="1" applyProtection="1">
      <alignment horizontal="center"/>
      <protection locked="0" hidden="1"/>
    </xf>
    <xf numFmtId="0" fontId="7" fillId="24" borderId="11" xfId="0" applyFont="1" applyFill="1" applyBorder="1" applyAlignment="1" applyProtection="1">
      <alignment horizontal="center"/>
      <protection locked="0" hidden="1"/>
    </xf>
    <xf numFmtId="0" fontId="7" fillId="24" borderId="36" xfId="0" applyFont="1" applyFill="1" applyBorder="1" applyAlignment="1" applyProtection="1">
      <alignment horizontal="center"/>
      <protection locked="0" hidden="1"/>
    </xf>
    <xf numFmtId="0" fontId="1" fillId="24" borderId="103" xfId="0" applyFont="1" applyFill="1" applyBorder="1" applyAlignment="1" applyProtection="1">
      <alignment horizontal="left" vertical="center"/>
      <protection hidden="1"/>
    </xf>
    <xf numFmtId="0" fontId="1" fillId="24" borderId="72" xfId="0" applyFont="1" applyFill="1" applyBorder="1" applyAlignment="1" applyProtection="1">
      <alignment horizontal="left" vertical="center"/>
      <protection hidden="1"/>
    </xf>
    <xf numFmtId="0" fontId="1" fillId="24" borderId="74" xfId="0" applyFont="1" applyFill="1" applyBorder="1" applyAlignment="1" applyProtection="1">
      <alignment horizontal="left" vertical="center"/>
      <protection hidden="1"/>
    </xf>
    <xf numFmtId="0" fontId="7" fillId="24" borderId="58" xfId="0" applyFont="1" applyFill="1" applyBorder="1" applyAlignment="1" applyProtection="1">
      <alignment horizontal="center"/>
      <protection locked="0" hidden="1"/>
    </xf>
    <xf numFmtId="0" fontId="2" fillId="24" borderId="17" xfId="0" applyFont="1" applyFill="1" applyBorder="1" applyAlignment="1" applyProtection="1">
      <alignment horizontal="center" vertical="center" wrapText="1"/>
      <protection hidden="1"/>
    </xf>
    <xf numFmtId="0" fontId="2" fillId="24" borderId="10" xfId="0" applyFont="1" applyFill="1" applyBorder="1" applyAlignment="1" applyProtection="1">
      <alignment horizontal="center" vertical="center" wrapText="1"/>
      <protection hidden="1"/>
    </xf>
    <xf numFmtId="0" fontId="2" fillId="24" borderId="16" xfId="0" applyFont="1" applyFill="1" applyBorder="1" applyAlignment="1" applyProtection="1">
      <alignment horizontal="center" vertical="center" wrapText="1"/>
      <protection hidden="1"/>
    </xf>
    <xf numFmtId="0" fontId="1" fillId="24" borderId="71" xfId="0" applyFont="1" applyFill="1" applyBorder="1" applyAlignment="1" applyProtection="1">
      <alignment horizontal="left" vertical="center"/>
      <protection hidden="1"/>
    </xf>
    <xf numFmtId="0" fontId="2" fillId="24" borderId="83" xfId="0" applyFont="1" applyFill="1" applyBorder="1" applyAlignment="1" applyProtection="1">
      <alignment horizontal="center" vertical="center" wrapText="1"/>
      <protection hidden="1"/>
    </xf>
    <xf numFmtId="0" fontId="1" fillId="24" borderId="14" xfId="0" applyFont="1" applyFill="1" applyBorder="1"/>
    <xf numFmtId="0" fontId="1" fillId="24" borderId="18" xfId="0" applyFont="1" applyFill="1" applyBorder="1"/>
    <xf numFmtId="0" fontId="37" fillId="24" borderId="27" xfId="0" applyFont="1" applyFill="1" applyBorder="1" applyAlignment="1" applyProtection="1">
      <alignment horizontal="center" vertical="center" wrapText="1"/>
      <protection hidden="1"/>
    </xf>
    <xf numFmtId="0" fontId="37" fillId="24" borderId="33" xfId="0" applyFont="1" applyFill="1" applyBorder="1" applyAlignment="1" applyProtection="1">
      <alignment horizontal="center" vertical="center" wrapText="1"/>
      <protection hidden="1"/>
    </xf>
    <xf numFmtId="0" fontId="37" fillId="24" borderId="32" xfId="0" applyFont="1" applyFill="1" applyBorder="1" applyAlignment="1" applyProtection="1">
      <alignment horizontal="center" vertical="center" wrapText="1"/>
      <protection hidden="1"/>
    </xf>
    <xf numFmtId="0" fontId="37" fillId="24" borderId="23" xfId="0" applyFont="1" applyFill="1" applyBorder="1" applyAlignment="1" applyProtection="1">
      <alignment horizontal="center" vertical="center" wrapText="1"/>
      <protection hidden="1"/>
    </xf>
    <xf numFmtId="0" fontId="37" fillId="24" borderId="0" xfId="0" applyFont="1" applyFill="1" applyAlignment="1" applyProtection="1">
      <alignment horizontal="center" vertical="center" wrapText="1"/>
      <protection hidden="1"/>
    </xf>
    <xf numFmtId="0" fontId="37" fillId="24" borderId="25" xfId="0" applyFont="1" applyFill="1" applyBorder="1" applyAlignment="1" applyProtection="1">
      <alignment horizontal="center" vertical="center" wrapText="1"/>
      <protection hidden="1"/>
    </xf>
    <xf numFmtId="0" fontId="37" fillId="24" borderId="69" xfId="0" applyFont="1" applyFill="1" applyBorder="1" applyAlignment="1" applyProtection="1">
      <alignment horizontal="center" vertical="center" wrapText="1"/>
      <protection hidden="1"/>
    </xf>
    <xf numFmtId="0" fontId="37" fillId="24" borderId="15" xfId="0" applyFont="1" applyFill="1" applyBorder="1" applyAlignment="1" applyProtection="1">
      <alignment horizontal="center" vertical="center" wrapText="1"/>
      <protection hidden="1"/>
    </xf>
    <xf numFmtId="0" fontId="37" fillId="24" borderId="68" xfId="0" applyFont="1" applyFill="1" applyBorder="1" applyAlignment="1" applyProtection="1">
      <alignment horizontal="center" vertical="center" wrapText="1"/>
      <protection hidden="1"/>
    </xf>
    <xf numFmtId="0" fontId="2" fillId="24" borderId="64" xfId="0" applyFont="1" applyFill="1" applyBorder="1" applyAlignment="1" applyProtection="1">
      <alignment horizontal="center" vertical="center" wrapText="1"/>
      <protection hidden="1"/>
    </xf>
    <xf numFmtId="0" fontId="2" fillId="24" borderId="24" xfId="0" applyFont="1" applyFill="1" applyBorder="1" applyAlignment="1" applyProtection="1">
      <alignment horizontal="center" vertical="center" wrapText="1"/>
      <protection hidden="1"/>
    </xf>
    <xf numFmtId="0" fontId="2" fillId="24" borderId="19" xfId="0" applyFont="1" applyFill="1" applyBorder="1" applyAlignment="1" applyProtection="1">
      <alignment horizontal="center" vertical="center" wrapText="1"/>
      <protection hidden="1"/>
    </xf>
    <xf numFmtId="0" fontId="7" fillId="24" borderId="103" xfId="0" applyFont="1" applyFill="1" applyBorder="1" applyAlignment="1" applyProtection="1">
      <alignment horizontal="center" vertical="center" wrapText="1"/>
      <protection hidden="1"/>
    </xf>
    <xf numFmtId="0" fontId="7" fillId="24" borderId="74" xfId="0" applyFont="1" applyFill="1" applyBorder="1" applyAlignment="1" applyProtection="1">
      <alignment horizontal="center" vertical="center" wrapText="1"/>
      <protection hidden="1"/>
    </xf>
    <xf numFmtId="0" fontId="6" fillId="24" borderId="27" xfId="0" applyFont="1" applyFill="1" applyBorder="1" applyAlignment="1" applyProtection="1">
      <alignment horizontal="left" vertical="top"/>
      <protection hidden="1"/>
    </xf>
    <xf numFmtId="0" fontId="6" fillId="24" borderId="33" xfId="0" applyFont="1" applyFill="1" applyBorder="1" applyAlignment="1" applyProtection="1">
      <alignment horizontal="left" vertical="top"/>
      <protection hidden="1"/>
    </xf>
    <xf numFmtId="0" fontId="6" fillId="24" borderId="32" xfId="0" applyFont="1" applyFill="1" applyBorder="1" applyAlignment="1" applyProtection="1">
      <alignment horizontal="left" vertical="top"/>
      <protection hidden="1"/>
    </xf>
    <xf numFmtId="0" fontId="6" fillId="24" borderId="23" xfId="0" applyFont="1" applyFill="1" applyBorder="1" applyAlignment="1" applyProtection="1">
      <alignment horizontal="left" vertical="top"/>
      <protection hidden="1"/>
    </xf>
    <xf numFmtId="0" fontId="6" fillId="24" borderId="0" xfId="0" applyFont="1" applyFill="1" applyAlignment="1" applyProtection="1">
      <alignment horizontal="left" vertical="top"/>
      <protection hidden="1"/>
    </xf>
    <xf numFmtId="0" fontId="6" fillId="24" borderId="25" xfId="0" applyFont="1" applyFill="1" applyBorder="1" applyAlignment="1" applyProtection="1">
      <alignment horizontal="left" vertical="top"/>
      <protection hidden="1"/>
    </xf>
    <xf numFmtId="0" fontId="6" fillId="24" borderId="58" xfId="0" applyFont="1" applyFill="1" applyBorder="1" applyAlignment="1" applyProtection="1">
      <alignment horizontal="left" vertical="top"/>
      <protection hidden="1"/>
    </xf>
    <xf numFmtId="0" fontId="6" fillId="24" borderId="11" xfId="0" applyFont="1" applyFill="1" applyBorder="1" applyAlignment="1" applyProtection="1">
      <alignment horizontal="left" vertical="top"/>
      <protection hidden="1"/>
    </xf>
    <xf numFmtId="0" fontId="6" fillId="24" borderId="26" xfId="0" applyFont="1" applyFill="1" applyBorder="1" applyAlignment="1" applyProtection="1">
      <alignment horizontal="left" vertical="top"/>
      <protection hidden="1"/>
    </xf>
    <xf numFmtId="0" fontId="35" fillId="24" borderId="65" xfId="0" applyFont="1" applyFill="1" applyBorder="1" applyAlignment="1" applyProtection="1">
      <alignment horizontal="center" vertical="center"/>
      <protection hidden="1"/>
    </xf>
    <xf numFmtId="0" fontId="35" fillId="24" borderId="66" xfId="0" applyFont="1" applyFill="1" applyBorder="1" applyAlignment="1" applyProtection="1">
      <alignment horizontal="center" vertical="center"/>
      <protection hidden="1"/>
    </xf>
    <xf numFmtId="0" fontId="35" fillId="24" borderId="67" xfId="0" applyFont="1" applyFill="1" applyBorder="1" applyAlignment="1" applyProtection="1">
      <alignment horizontal="center" vertical="center"/>
      <protection hidden="1"/>
    </xf>
    <xf numFmtId="0" fontId="2" fillId="24" borderId="79" xfId="0" applyFont="1" applyFill="1" applyBorder="1" applyAlignment="1" applyProtection="1">
      <alignment horizontal="center" vertical="center" wrapText="1"/>
      <protection hidden="1"/>
    </xf>
    <xf numFmtId="0" fontId="1" fillId="24" borderId="106" xfId="0" applyFont="1" applyFill="1" applyBorder="1"/>
    <xf numFmtId="0" fontId="1" fillId="24" borderId="73" xfId="0" applyFont="1" applyFill="1" applyBorder="1"/>
    <xf numFmtId="0" fontId="35" fillId="24" borderId="62" xfId="0" applyFont="1" applyFill="1" applyBorder="1" applyAlignment="1" applyProtection="1">
      <alignment horizontal="center"/>
      <protection hidden="1"/>
    </xf>
    <xf numFmtId="0" fontId="35" fillId="24" borderId="63" xfId="0" applyFont="1" applyFill="1" applyBorder="1" applyAlignment="1" applyProtection="1">
      <alignment horizontal="center"/>
      <protection hidden="1"/>
    </xf>
    <xf numFmtId="0" fontId="35" fillId="24" borderId="93" xfId="0" applyFont="1" applyFill="1" applyBorder="1" applyAlignment="1" applyProtection="1">
      <alignment horizontal="center"/>
      <protection hidden="1"/>
    </xf>
    <xf numFmtId="0" fontId="2" fillId="24" borderId="31" xfId="0" applyFont="1" applyFill="1" applyBorder="1" applyAlignment="1" applyProtection="1">
      <alignment horizontal="center" vertical="center" wrapText="1"/>
      <protection hidden="1"/>
    </xf>
    <xf numFmtId="0" fontId="1" fillId="24" borderId="13" xfId="0" applyFont="1" applyFill="1" applyBorder="1" applyProtection="1">
      <protection hidden="1"/>
    </xf>
    <xf numFmtId="0" fontId="1" fillId="24" borderId="115" xfId="0" applyFont="1" applyFill="1" applyBorder="1" applyAlignment="1" applyProtection="1">
      <alignment horizontal="center"/>
      <protection hidden="1"/>
    </xf>
    <xf numFmtId="0" fontId="1" fillId="24" borderId="61" xfId="0" applyFont="1" applyFill="1" applyBorder="1" applyAlignment="1" applyProtection="1">
      <alignment horizontal="center"/>
      <protection hidden="1"/>
    </xf>
    <xf numFmtId="0" fontId="1" fillId="24" borderId="44" xfId="0" applyFont="1" applyFill="1" applyBorder="1" applyAlignment="1" applyProtection="1">
      <alignment horizontal="center"/>
      <protection hidden="1"/>
    </xf>
    <xf numFmtId="0" fontId="1" fillId="24" borderId="116" xfId="0" applyFont="1" applyFill="1" applyBorder="1" applyAlignment="1" applyProtection="1">
      <alignment horizontal="center"/>
      <protection hidden="1"/>
    </xf>
    <xf numFmtId="0" fontId="2" fillId="24" borderId="30" xfId="0" applyFont="1" applyFill="1" applyBorder="1" applyAlignment="1" applyProtection="1">
      <alignment horizontal="center" vertical="center" textRotation="90" wrapText="1"/>
      <protection hidden="1"/>
    </xf>
    <xf numFmtId="0" fontId="2" fillId="24" borderId="114" xfId="0" applyFont="1" applyFill="1" applyBorder="1" applyAlignment="1" applyProtection="1">
      <alignment horizontal="center" vertical="center" textRotation="90" wrapText="1"/>
      <protection hidden="1"/>
    </xf>
    <xf numFmtId="0" fontId="2" fillId="24" borderId="102" xfId="0" applyFont="1" applyFill="1" applyBorder="1" applyAlignment="1" applyProtection="1">
      <alignment horizontal="center" vertical="center" textRotation="90" wrapText="1"/>
      <protection hidden="1"/>
    </xf>
    <xf numFmtId="0" fontId="7" fillId="24" borderId="75" xfId="0" applyFont="1" applyFill="1" applyBorder="1" applyAlignment="1" applyProtection="1">
      <alignment horizontal="center" vertical="center" wrapText="1"/>
      <protection hidden="1"/>
    </xf>
    <xf numFmtId="0" fontId="7" fillId="24" borderId="76" xfId="0" applyFont="1" applyFill="1" applyBorder="1" applyAlignment="1" applyProtection="1">
      <alignment horizontal="center" vertical="center" wrapText="1"/>
      <protection hidden="1"/>
    </xf>
    <xf numFmtId="0" fontId="7" fillId="24" borderId="77" xfId="0" applyFont="1" applyFill="1" applyBorder="1" applyAlignment="1" applyProtection="1">
      <alignment horizontal="center" vertical="center" wrapText="1"/>
      <protection hidden="1"/>
    </xf>
    <xf numFmtId="0" fontId="46" fillId="24" borderId="87" xfId="0" applyFont="1" applyFill="1" applyBorder="1" applyAlignment="1" applyProtection="1">
      <alignment horizontal="center" vertical="center" wrapText="1"/>
      <protection hidden="1"/>
    </xf>
    <xf numFmtId="0" fontId="46" fillId="24" borderId="34" xfId="0" applyFont="1" applyFill="1" applyBorder="1" applyAlignment="1" applyProtection="1">
      <alignment horizontal="center" vertical="center" wrapText="1"/>
      <protection hidden="1"/>
    </xf>
    <xf numFmtId="0" fontId="46" fillId="24" borderId="118" xfId="0" applyFont="1" applyFill="1" applyBorder="1" applyAlignment="1" applyProtection="1">
      <alignment horizontal="center" vertical="center" wrapText="1"/>
      <protection hidden="1"/>
    </xf>
    <xf numFmtId="0" fontId="7" fillId="24" borderId="101" xfId="0" applyFont="1" applyFill="1" applyBorder="1" applyAlignment="1" applyProtection="1">
      <alignment horizontal="left"/>
      <protection hidden="1"/>
    </xf>
    <xf numFmtId="0" fontId="7" fillId="24" borderId="19" xfId="0" applyFont="1" applyFill="1" applyBorder="1" applyAlignment="1" applyProtection="1">
      <alignment horizontal="left"/>
      <protection hidden="1"/>
    </xf>
    <xf numFmtId="0" fontId="45" fillId="24" borderId="69" xfId="0" applyFont="1" applyFill="1" applyBorder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/>
      <protection hidden="1"/>
    </xf>
    <xf numFmtId="0" fontId="45" fillId="24" borderId="70" xfId="0" applyFont="1" applyFill="1" applyBorder="1" applyAlignment="1" applyProtection="1">
      <alignment horizontal="center"/>
      <protection hidden="1"/>
    </xf>
    <xf numFmtId="0" fontId="7" fillId="24" borderId="19" xfId="0" applyFont="1" applyFill="1" applyBorder="1" applyAlignment="1" applyProtection="1">
      <alignment horizontal="left" vertical="top"/>
      <protection hidden="1"/>
    </xf>
    <xf numFmtId="0" fontId="47" fillId="24" borderId="15" xfId="0" applyFont="1" applyFill="1" applyBorder="1" applyAlignment="1" applyProtection="1">
      <alignment horizontal="center"/>
      <protection locked="0" hidden="1"/>
    </xf>
    <xf numFmtId="0" fontId="47" fillId="24" borderId="70" xfId="0" applyFont="1" applyFill="1" applyBorder="1" applyAlignment="1" applyProtection="1">
      <alignment horizontal="center"/>
      <protection locked="0" hidden="1"/>
    </xf>
    <xf numFmtId="0" fontId="7" fillId="24" borderId="17" xfId="0" applyFont="1" applyFill="1" applyBorder="1" applyAlignment="1" applyProtection="1">
      <alignment horizontal="left"/>
      <protection hidden="1"/>
    </xf>
    <xf numFmtId="0" fontId="44" fillId="24" borderId="0" xfId="0" applyFont="1" applyFill="1" applyAlignment="1" applyProtection="1">
      <alignment horizontal="center"/>
      <protection hidden="1"/>
    </xf>
    <xf numFmtId="0" fontId="43" fillId="24" borderId="0" xfId="0" applyFont="1" applyFill="1" applyAlignment="1" applyProtection="1">
      <alignment horizontal="center" vertical="center"/>
      <protection hidden="1"/>
    </xf>
    <xf numFmtId="0" fontId="7" fillId="24" borderId="19" xfId="0" applyFont="1" applyFill="1" applyBorder="1" applyAlignment="1" applyProtection="1">
      <alignment horizontal="center"/>
      <protection hidden="1"/>
    </xf>
    <xf numFmtId="0" fontId="31" fillId="24" borderId="58" xfId="0" applyFont="1" applyFill="1" applyBorder="1" applyAlignment="1" applyProtection="1">
      <alignment horizontal="center" vertical="center"/>
      <protection hidden="1"/>
    </xf>
    <xf numFmtId="0" fontId="31" fillId="24" borderId="11" xfId="0" applyFont="1" applyFill="1" applyBorder="1" applyAlignment="1" applyProtection="1">
      <alignment horizontal="center" vertical="center"/>
      <protection hidden="1"/>
    </xf>
    <xf numFmtId="0" fontId="31" fillId="24" borderId="26" xfId="0" applyFont="1" applyFill="1" applyBorder="1" applyAlignment="1" applyProtection="1">
      <alignment horizontal="center" vertical="center"/>
      <protection hidden="1"/>
    </xf>
    <xf numFmtId="0" fontId="7" fillId="24" borderId="65" xfId="0" applyFont="1" applyFill="1" applyBorder="1" applyAlignment="1" applyProtection="1">
      <alignment horizontal="center" vertical="center"/>
      <protection hidden="1"/>
    </xf>
    <xf numFmtId="0" fontId="7" fillId="24" borderId="66" xfId="0" applyFont="1" applyFill="1" applyBorder="1" applyAlignment="1" applyProtection="1">
      <alignment horizontal="center" vertical="center"/>
      <protection hidden="1"/>
    </xf>
    <xf numFmtId="0" fontId="7" fillId="24" borderId="78" xfId="0" applyFont="1" applyFill="1" applyBorder="1" applyAlignment="1" applyProtection="1">
      <alignment horizontal="center" vertical="center"/>
      <protection hidden="1"/>
    </xf>
    <xf numFmtId="2" fontId="1" fillId="24" borderId="64" xfId="0" applyNumberFormat="1" applyFont="1" applyFill="1" applyBorder="1" applyAlignment="1" applyProtection="1">
      <alignment horizontal="center" vertical="center"/>
      <protection hidden="1"/>
    </xf>
    <xf numFmtId="0" fontId="1" fillId="24" borderId="24" xfId="0" applyFont="1" applyFill="1" applyBorder="1" applyAlignment="1" applyProtection="1">
      <alignment horizontal="center" vertical="center"/>
      <protection hidden="1"/>
    </xf>
    <xf numFmtId="0" fontId="7" fillId="24" borderId="79" xfId="0" applyFont="1" applyFill="1" applyBorder="1" applyAlignment="1" applyProtection="1">
      <alignment horizontal="center" vertical="center" wrapText="1"/>
      <protection hidden="1"/>
    </xf>
    <xf numFmtId="0" fontId="1" fillId="24" borderId="73" xfId="0" applyFont="1" applyFill="1" applyBorder="1" applyAlignment="1" applyProtection="1">
      <alignment horizontal="center" vertical="center" wrapText="1"/>
      <protection hidden="1"/>
    </xf>
    <xf numFmtId="176" fontId="7" fillId="24" borderId="106" xfId="0" applyNumberFormat="1" applyFont="1" applyFill="1" applyBorder="1" applyAlignment="1" applyProtection="1">
      <alignment horizontal="center" vertical="center"/>
      <protection hidden="1"/>
    </xf>
    <xf numFmtId="176" fontId="1" fillId="24" borderId="80" xfId="0" applyNumberFormat="1" applyFont="1" applyFill="1" applyBorder="1" applyAlignment="1" applyProtection="1">
      <alignment horizontal="center" vertical="center"/>
      <protection hidden="1"/>
    </xf>
    <xf numFmtId="0" fontId="7" fillId="24" borderId="62" xfId="0" applyFont="1" applyFill="1" applyBorder="1" applyAlignment="1" applyProtection="1">
      <alignment horizontal="center" vertical="center"/>
      <protection hidden="1"/>
    </xf>
    <xf numFmtId="0" fontId="7" fillId="24" borderId="63" xfId="0" applyFont="1" applyFill="1" applyBorder="1" applyAlignment="1" applyProtection="1">
      <alignment horizontal="center" vertical="center"/>
      <protection hidden="1"/>
    </xf>
    <xf numFmtId="0" fontId="7" fillId="24" borderId="55" xfId="0" applyFont="1" applyFill="1" applyBorder="1" applyAlignment="1" applyProtection="1">
      <alignment horizontal="center" vertical="center"/>
      <protection hidden="1"/>
    </xf>
    <xf numFmtId="0" fontId="7" fillId="24" borderId="81" xfId="0" applyFont="1" applyFill="1" applyBorder="1" applyAlignment="1" applyProtection="1">
      <alignment horizontal="center" vertical="center"/>
      <protection hidden="1"/>
    </xf>
    <xf numFmtId="0" fontId="7" fillId="24" borderId="71" xfId="0" applyFont="1" applyFill="1" applyBorder="1" applyAlignment="1" applyProtection="1">
      <alignment horizontal="center" vertical="center"/>
      <protection hidden="1"/>
    </xf>
    <xf numFmtId="0" fontId="7" fillId="24" borderId="74" xfId="0" applyFont="1" applyFill="1" applyBorder="1" applyAlignment="1" applyProtection="1">
      <alignment horizontal="center" vertical="center"/>
      <protection hidden="1"/>
    </xf>
    <xf numFmtId="0" fontId="1" fillId="24" borderId="50" xfId="0" applyFont="1" applyFill="1" applyBorder="1" applyAlignment="1" applyProtection="1">
      <alignment horizontal="left" vertical="center"/>
      <protection hidden="1"/>
    </xf>
    <xf numFmtId="0" fontId="1" fillId="24" borderId="44" xfId="0" applyFont="1" applyFill="1" applyBorder="1" applyAlignment="1" applyProtection="1">
      <alignment horizontal="left" vertical="center"/>
      <protection hidden="1"/>
    </xf>
    <xf numFmtId="2" fontId="7" fillId="24" borderId="64" xfId="0" applyNumberFormat="1" applyFont="1" applyFill="1" applyBorder="1" applyAlignment="1" applyProtection="1">
      <alignment horizontal="center" vertical="center"/>
      <protection locked="0" hidden="1"/>
    </xf>
    <xf numFmtId="2" fontId="7" fillId="24" borderId="24" xfId="0" applyNumberFormat="1" applyFont="1" applyFill="1" applyBorder="1" applyAlignment="1" applyProtection="1">
      <alignment horizontal="center" vertical="center"/>
      <protection locked="0" hidden="1"/>
    </xf>
    <xf numFmtId="167" fontId="7" fillId="24" borderId="97" xfId="0" applyNumberFormat="1" applyFont="1" applyFill="1" applyBorder="1" applyAlignment="1" applyProtection="1">
      <alignment horizontal="center" vertical="center"/>
      <protection hidden="1"/>
    </xf>
    <xf numFmtId="2" fontId="1" fillId="24" borderId="24" xfId="0" applyNumberFormat="1" applyFont="1" applyFill="1" applyBorder="1" applyAlignment="1" applyProtection="1">
      <alignment horizontal="center" vertical="center"/>
      <protection hidden="1"/>
    </xf>
    <xf numFmtId="0" fontId="7" fillId="24" borderId="88" xfId="0" applyFont="1" applyFill="1" applyBorder="1" applyAlignment="1" applyProtection="1">
      <alignment horizontal="center" vertical="center"/>
      <protection hidden="1"/>
    </xf>
    <xf numFmtId="0" fontId="1" fillId="24" borderId="40" xfId="0" applyFont="1" applyFill="1" applyBorder="1" applyAlignment="1" applyProtection="1">
      <alignment horizontal="center"/>
      <protection hidden="1"/>
    </xf>
    <xf numFmtId="0" fontId="1" fillId="24" borderId="34" xfId="0" applyFont="1" applyFill="1" applyBorder="1" applyAlignment="1" applyProtection="1">
      <alignment horizontal="center"/>
      <protection hidden="1"/>
    </xf>
    <xf numFmtId="0" fontId="1" fillId="24" borderId="16" xfId="0" applyFont="1" applyFill="1" applyBorder="1" applyAlignment="1" applyProtection="1">
      <alignment horizontal="left"/>
      <protection hidden="1"/>
    </xf>
    <xf numFmtId="167" fontId="1" fillId="24" borderId="87" xfId="0" applyNumberFormat="1" applyFont="1" applyFill="1" applyBorder="1" applyAlignment="1" applyProtection="1">
      <alignment horizontal="center"/>
      <protection hidden="1"/>
    </xf>
    <xf numFmtId="167" fontId="1" fillId="24" borderId="41" xfId="0" applyNumberFormat="1" applyFont="1" applyFill="1" applyBorder="1" applyAlignment="1" applyProtection="1">
      <alignment horizontal="center"/>
      <protection hidden="1"/>
    </xf>
    <xf numFmtId="49" fontId="7" fillId="24" borderId="71" xfId="0" applyNumberFormat="1" applyFont="1" applyFill="1" applyBorder="1" applyAlignment="1" applyProtection="1">
      <alignment horizontal="center" vertical="center"/>
      <protection locked="0" hidden="1"/>
    </xf>
    <xf numFmtId="49" fontId="7" fillId="24" borderId="74" xfId="0" applyNumberFormat="1" applyFont="1" applyFill="1" applyBorder="1" applyAlignment="1" applyProtection="1">
      <alignment horizontal="center" vertical="center"/>
      <protection locked="0" hidden="1"/>
    </xf>
    <xf numFmtId="167" fontId="7" fillId="24" borderId="42" xfId="0" applyNumberFormat="1" applyFont="1" applyFill="1" applyBorder="1" applyAlignment="1" applyProtection="1">
      <alignment horizontal="center" vertical="center"/>
      <protection hidden="1"/>
    </xf>
    <xf numFmtId="0" fontId="1" fillId="24" borderId="87" xfId="0" applyFont="1" applyFill="1" applyBorder="1" applyAlignment="1" applyProtection="1">
      <alignment horizontal="center" vertical="center"/>
      <protection hidden="1"/>
    </xf>
    <xf numFmtId="0" fontId="1" fillId="24" borderId="34" xfId="0" applyFont="1" applyFill="1" applyBorder="1" applyAlignment="1" applyProtection="1">
      <alignment horizontal="center" vertical="center"/>
      <protection hidden="1"/>
    </xf>
    <xf numFmtId="0" fontId="1" fillId="24" borderId="41" xfId="0" applyFont="1" applyFill="1" applyBorder="1" applyAlignment="1" applyProtection="1">
      <alignment horizontal="center" vertical="center"/>
      <protection hidden="1"/>
    </xf>
    <xf numFmtId="168" fontId="7" fillId="24" borderId="71" xfId="0" applyNumberFormat="1" applyFont="1" applyFill="1" applyBorder="1" applyAlignment="1" applyProtection="1">
      <alignment horizontal="center"/>
      <protection hidden="1"/>
    </xf>
    <xf numFmtId="168" fontId="7" fillId="24" borderId="74" xfId="0" applyNumberFormat="1" applyFont="1" applyFill="1" applyBorder="1" applyAlignment="1" applyProtection="1">
      <alignment horizontal="center"/>
      <protection hidden="1"/>
    </xf>
    <xf numFmtId="4" fontId="7" fillId="24" borderId="71" xfId="0" applyNumberFormat="1" applyFont="1" applyFill="1" applyBorder="1" applyAlignment="1" applyProtection="1">
      <alignment horizontal="center"/>
      <protection hidden="1"/>
    </xf>
    <xf numFmtId="4" fontId="7" fillId="24" borderId="74" xfId="0" applyNumberFormat="1" applyFont="1" applyFill="1" applyBorder="1" applyAlignment="1" applyProtection="1">
      <alignment horizontal="center"/>
      <protection hidden="1"/>
    </xf>
    <xf numFmtId="0" fontId="1" fillId="24" borderId="103" xfId="0" applyFont="1" applyFill="1" applyBorder="1" applyAlignment="1" applyProtection="1">
      <alignment horizontal="center"/>
      <protection hidden="1"/>
    </xf>
    <xf numFmtId="0" fontId="1" fillId="24" borderId="74" xfId="0" applyFont="1" applyFill="1" applyBorder="1" applyAlignment="1" applyProtection="1">
      <alignment horizontal="center"/>
      <protection hidden="1"/>
    </xf>
    <xf numFmtId="0" fontId="7" fillId="24" borderId="75" xfId="0" applyFont="1" applyFill="1" applyBorder="1" applyAlignment="1" applyProtection="1">
      <alignment horizontal="center" vertical="center"/>
      <protection hidden="1"/>
    </xf>
    <xf numFmtId="0" fontId="7" fillId="24" borderId="76" xfId="0" applyFont="1" applyFill="1" applyBorder="1" applyAlignment="1" applyProtection="1">
      <alignment horizontal="center" vertical="center"/>
      <protection hidden="1"/>
    </xf>
    <xf numFmtId="0" fontId="7" fillId="24" borderId="77" xfId="0" applyFont="1" applyFill="1" applyBorder="1" applyAlignment="1" applyProtection="1">
      <alignment horizontal="center" vertical="center"/>
      <protection hidden="1"/>
    </xf>
    <xf numFmtId="0" fontId="7" fillId="24" borderId="82" xfId="0" applyFont="1" applyFill="1" applyBorder="1" applyAlignment="1" applyProtection="1">
      <alignment horizontal="center" vertical="center"/>
      <protection hidden="1"/>
    </xf>
    <xf numFmtId="0" fontId="7" fillId="24" borderId="16" xfId="0" applyFont="1" applyFill="1" applyBorder="1" applyAlignment="1" applyProtection="1">
      <alignment horizontal="center" vertical="center"/>
      <protection locked="0" hidden="1"/>
    </xf>
    <xf numFmtId="0" fontId="7" fillId="24" borderId="70" xfId="0" applyFont="1" applyFill="1" applyBorder="1" applyAlignment="1" applyProtection="1">
      <alignment horizontal="center" vertical="center"/>
      <protection locked="0" hidden="1"/>
    </xf>
    <xf numFmtId="49" fontId="7" fillId="24" borderId="40" xfId="0" applyNumberFormat="1" applyFont="1" applyFill="1" applyBorder="1" applyAlignment="1" applyProtection="1">
      <alignment horizontal="center" vertical="center"/>
      <protection locked="0" hidden="1"/>
    </xf>
    <xf numFmtId="49" fontId="7" fillId="24" borderId="41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69" xfId="0" applyFont="1" applyFill="1" applyBorder="1" applyAlignment="1" applyProtection="1">
      <alignment horizontal="left" vertical="center"/>
      <protection hidden="1"/>
    </xf>
    <xf numFmtId="0" fontId="1" fillId="24" borderId="15" xfId="0" applyFont="1" applyFill="1" applyBorder="1" applyAlignment="1" applyProtection="1">
      <alignment horizontal="left" vertical="center"/>
      <protection hidden="1"/>
    </xf>
    <xf numFmtId="0" fontId="7" fillId="24" borderId="71" xfId="0" applyFont="1" applyFill="1" applyBorder="1" applyAlignment="1" applyProtection="1">
      <alignment horizontal="center" vertical="center"/>
      <protection locked="0" hidden="1"/>
    </xf>
    <xf numFmtId="0" fontId="7" fillId="24" borderId="74" xfId="0" applyFont="1" applyFill="1" applyBorder="1" applyAlignment="1" applyProtection="1">
      <alignment horizontal="center" vertical="center"/>
      <protection locked="0" hidden="1"/>
    </xf>
    <xf numFmtId="49" fontId="7" fillId="24" borderId="18" xfId="0" applyNumberFormat="1" applyFont="1" applyFill="1" applyBorder="1" applyAlignment="1" applyProtection="1">
      <alignment horizontal="center"/>
      <protection locked="0" hidden="1"/>
    </xf>
    <xf numFmtId="0" fontId="7" fillId="24" borderId="73" xfId="0" applyFont="1" applyFill="1" applyBorder="1" applyAlignment="1" applyProtection="1">
      <alignment horizontal="center"/>
      <protection locked="0" hidden="1"/>
    </xf>
    <xf numFmtId="0" fontId="7" fillId="24" borderId="39" xfId="0" applyFont="1" applyFill="1" applyBorder="1" applyAlignment="1" applyProtection="1">
      <alignment horizontal="left"/>
      <protection hidden="1"/>
    </xf>
    <xf numFmtId="0" fontId="7" fillId="24" borderId="102" xfId="0" applyFont="1" applyFill="1" applyBorder="1" applyAlignment="1" applyProtection="1">
      <alignment horizontal="center"/>
      <protection locked="0" hidden="1"/>
    </xf>
    <xf numFmtId="0" fontId="7" fillId="24" borderId="18" xfId="0" applyFont="1" applyFill="1" applyBorder="1" applyAlignment="1" applyProtection="1">
      <alignment horizontal="center"/>
      <protection locked="0" hidden="1"/>
    </xf>
    <xf numFmtId="0" fontId="45" fillId="24" borderId="69" xfId="0" applyFont="1" applyFill="1" applyBorder="1" applyAlignment="1" applyProtection="1">
      <alignment horizontal="center"/>
      <protection locked="0" hidden="1"/>
    </xf>
    <xf numFmtId="0" fontId="45" fillId="24" borderId="15" xfId="0" applyFont="1" applyFill="1" applyBorder="1" applyAlignment="1" applyProtection="1">
      <alignment horizontal="center"/>
      <protection locked="0" hidden="1"/>
    </xf>
    <xf numFmtId="0" fontId="45" fillId="24" borderId="70" xfId="0" applyFont="1" applyFill="1" applyBorder="1" applyAlignment="1" applyProtection="1">
      <alignment horizontal="center"/>
      <protection locked="0" hidden="1"/>
    </xf>
    <xf numFmtId="0" fontId="45" fillId="24" borderId="16" xfId="0" quotePrefix="1" applyFont="1" applyFill="1" applyBorder="1" applyAlignment="1" applyProtection="1">
      <alignment horizontal="center"/>
      <protection locked="0" hidden="1"/>
    </xf>
    <xf numFmtId="0" fontId="1" fillId="24" borderId="84" xfId="0" applyFont="1" applyFill="1" applyBorder="1" applyAlignment="1" applyProtection="1">
      <alignment horizontal="center" vertical="center" wrapText="1"/>
      <protection hidden="1"/>
    </xf>
    <xf numFmtId="0" fontId="1" fillId="24" borderId="85" xfId="0" applyFont="1" applyFill="1" applyBorder="1" applyAlignment="1" applyProtection="1">
      <alignment horizontal="center" vertical="center" wrapText="1"/>
      <protection hidden="1"/>
    </xf>
    <xf numFmtId="9" fontId="7" fillId="24" borderId="16" xfId="0" applyNumberFormat="1" applyFont="1" applyFill="1" applyBorder="1" applyAlignment="1" applyProtection="1">
      <alignment horizontal="center"/>
      <protection locked="0" hidden="1"/>
    </xf>
    <xf numFmtId="9" fontId="7" fillId="24" borderId="15" xfId="0" applyNumberFormat="1" applyFont="1" applyFill="1" applyBorder="1" applyAlignment="1" applyProtection="1">
      <alignment horizontal="center"/>
      <protection locked="0" hidden="1"/>
    </xf>
    <xf numFmtId="9" fontId="7" fillId="24" borderId="68" xfId="0" applyNumberFormat="1" applyFont="1" applyFill="1" applyBorder="1" applyAlignment="1" applyProtection="1">
      <alignment horizontal="center"/>
      <protection locked="0" hidden="1"/>
    </xf>
    <xf numFmtId="0" fontId="1" fillId="24" borderId="110" xfId="0" applyFont="1" applyFill="1" applyBorder="1" applyAlignment="1" applyProtection="1">
      <alignment horizontal="left"/>
      <protection hidden="1"/>
    </xf>
    <xf numFmtId="0" fontId="1" fillId="24" borderId="108" xfId="0" applyFont="1" applyFill="1" applyBorder="1" applyAlignment="1" applyProtection="1">
      <alignment horizontal="left"/>
      <protection hidden="1"/>
    </xf>
    <xf numFmtId="0" fontId="31" fillId="24" borderId="90" xfId="0" applyFont="1" applyFill="1" applyBorder="1" applyAlignment="1" applyProtection="1">
      <alignment horizontal="center" vertical="center"/>
      <protection hidden="1"/>
    </xf>
    <xf numFmtId="0" fontId="31" fillId="24" borderId="76" xfId="0" applyFont="1" applyFill="1" applyBorder="1" applyAlignment="1" applyProtection="1">
      <alignment horizontal="center" vertical="center"/>
      <protection hidden="1"/>
    </xf>
    <xf numFmtId="0" fontId="31" fillId="24" borderId="91" xfId="0" applyFont="1" applyFill="1" applyBorder="1" applyAlignment="1" applyProtection="1">
      <alignment horizontal="center" vertical="center"/>
      <protection hidden="1"/>
    </xf>
    <xf numFmtId="0" fontId="1" fillId="24" borderId="107" xfId="0" applyFont="1" applyFill="1" applyBorder="1" applyAlignment="1" applyProtection="1">
      <alignment horizontal="left"/>
      <protection hidden="1"/>
    </xf>
    <xf numFmtId="0" fontId="38" fillId="24" borderId="76" xfId="0" applyFont="1" applyFill="1" applyBorder="1" applyAlignment="1" applyProtection="1">
      <alignment horizontal="center" vertical="center"/>
      <protection hidden="1"/>
    </xf>
    <xf numFmtId="0" fontId="38" fillId="24" borderId="91" xfId="0" applyFont="1" applyFill="1" applyBorder="1" applyAlignment="1" applyProtection="1">
      <alignment horizontal="center" vertical="center"/>
      <protection hidden="1"/>
    </xf>
    <xf numFmtId="0" fontId="2" fillId="24" borderId="108" xfId="0" applyFont="1" applyFill="1" applyBorder="1" applyAlignment="1" applyProtection="1">
      <alignment horizontal="left"/>
      <protection hidden="1"/>
    </xf>
    <xf numFmtId="0" fontId="2" fillId="24" borderId="72" xfId="0" applyFont="1" applyFill="1" applyBorder="1" applyAlignment="1" applyProtection="1">
      <alignment horizontal="left"/>
      <protection hidden="1"/>
    </xf>
    <xf numFmtId="0" fontId="2" fillId="24" borderId="109" xfId="0" applyFont="1" applyFill="1" applyBorder="1" applyAlignment="1" applyProtection="1">
      <alignment horizontal="left"/>
      <protection hidden="1"/>
    </xf>
    <xf numFmtId="0" fontId="2" fillId="24" borderId="34" xfId="0" applyFont="1" applyFill="1" applyBorder="1" applyAlignment="1" applyProtection="1">
      <alignment horizontal="left"/>
      <protection hidden="1"/>
    </xf>
    <xf numFmtId="0" fontId="31" fillId="24" borderId="92" xfId="0" applyFont="1" applyFill="1" applyBorder="1" applyAlignment="1" applyProtection="1">
      <alignment horizontal="center"/>
      <protection hidden="1"/>
    </xf>
    <xf numFmtId="0" fontId="31" fillId="24" borderId="63" xfId="0" applyFont="1" applyFill="1" applyBorder="1" applyAlignment="1" applyProtection="1">
      <alignment horizontal="center"/>
      <protection hidden="1"/>
    </xf>
    <xf numFmtId="0" fontId="31" fillId="24" borderId="93" xfId="0" applyFont="1" applyFill="1" applyBorder="1" applyAlignment="1" applyProtection="1">
      <alignment horizontal="center"/>
      <protection hidden="1"/>
    </xf>
    <xf numFmtId="2" fontId="7" fillId="24" borderId="97" xfId="0" applyNumberFormat="1" applyFont="1" applyFill="1" applyBorder="1" applyAlignment="1" applyProtection="1">
      <alignment horizontal="center" vertical="center"/>
      <protection hidden="1"/>
    </xf>
    <xf numFmtId="2" fontId="7" fillId="24" borderId="98" xfId="0" applyNumberFormat="1" applyFont="1" applyFill="1" applyBorder="1" applyAlignment="1" applyProtection="1">
      <alignment horizontal="center" vertical="center"/>
      <protection hidden="1"/>
    </xf>
    <xf numFmtId="0" fontId="31" fillId="24" borderId="96" xfId="0" applyFont="1" applyFill="1" applyBorder="1" applyAlignment="1" applyProtection="1">
      <alignment horizontal="center" vertical="center"/>
      <protection hidden="1"/>
    </xf>
    <xf numFmtId="0" fontId="31" fillId="24" borderId="15" xfId="0" applyFont="1" applyFill="1" applyBorder="1" applyAlignment="1" applyProtection="1">
      <alignment horizontal="center" vertical="center"/>
      <protection hidden="1"/>
    </xf>
    <xf numFmtId="0" fontId="31" fillId="24" borderId="68" xfId="0" applyFont="1" applyFill="1" applyBorder="1" applyAlignment="1" applyProtection="1">
      <alignment horizontal="center" vertical="center"/>
      <protection hidden="1"/>
    </xf>
    <xf numFmtId="0" fontId="1" fillId="0" borderId="108" xfId="0" applyFont="1" applyFill="1" applyBorder="1" applyAlignment="1" applyProtection="1">
      <alignment horizontal="left"/>
      <protection hidden="1"/>
    </xf>
    <xf numFmtId="0" fontId="1" fillId="0" borderId="72" xfId="0" applyFont="1" applyFill="1" applyBorder="1" applyAlignment="1" applyProtection="1">
      <alignment horizontal="left"/>
      <protection hidden="1"/>
    </xf>
    <xf numFmtId="0" fontId="1" fillId="24" borderId="49" xfId="0" applyFont="1" applyFill="1" applyBorder="1" applyAlignment="1" applyProtection="1">
      <alignment horizontal="center" vertical="center"/>
      <protection hidden="1"/>
    </xf>
    <xf numFmtId="175" fontId="7" fillId="24" borderId="64" xfId="0" applyNumberFormat="1" applyFont="1" applyFill="1" applyBorder="1" applyAlignment="1" applyProtection="1">
      <alignment horizontal="center" vertical="center"/>
      <protection locked="0" hidden="1"/>
    </xf>
    <xf numFmtId="175" fontId="7" fillId="24" borderId="24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27" xfId="0" applyFont="1" applyFill="1" applyBorder="1" applyAlignment="1" applyProtection="1">
      <alignment horizontal="center" vertical="center" wrapText="1"/>
      <protection hidden="1"/>
    </xf>
    <xf numFmtId="0" fontId="1" fillId="24" borderId="31" xfId="0" applyFont="1" applyFill="1" applyBorder="1" applyAlignment="1" applyProtection="1">
      <alignment horizontal="center" wrapText="1"/>
      <protection hidden="1"/>
    </xf>
    <xf numFmtId="0" fontId="1" fillId="24" borderId="58" xfId="0" applyFont="1" applyFill="1" applyBorder="1" applyAlignment="1" applyProtection="1">
      <alignment horizontal="center" wrapText="1"/>
      <protection hidden="1"/>
    </xf>
    <xf numFmtId="0" fontId="1" fillId="24" borderId="36" xfId="0" applyFont="1" applyFill="1" applyBorder="1" applyAlignment="1" applyProtection="1">
      <alignment horizontal="center" wrapText="1"/>
      <protection hidden="1"/>
    </xf>
    <xf numFmtId="0" fontId="1" fillId="24" borderId="40" xfId="0" applyFont="1" applyFill="1" applyBorder="1" applyAlignment="1" applyProtection="1">
      <alignment horizontal="center" vertical="center"/>
      <protection hidden="1"/>
    </xf>
    <xf numFmtId="0" fontId="1" fillId="24" borderId="86" xfId="0" applyFont="1" applyFill="1" applyBorder="1" applyAlignment="1" applyProtection="1">
      <alignment horizontal="center" vertical="center" wrapText="1"/>
      <protection hidden="1"/>
    </xf>
    <xf numFmtId="0" fontId="1" fillId="24" borderId="47" xfId="0" applyFont="1" applyFill="1" applyBorder="1" applyAlignment="1" applyProtection="1">
      <alignment horizontal="center" vertical="center" wrapText="1"/>
      <protection hidden="1"/>
    </xf>
    <xf numFmtId="0" fontId="7" fillId="24" borderId="83" xfId="0" applyFont="1" applyFill="1" applyBorder="1" applyAlignment="1" applyProtection="1">
      <alignment horizontal="center" vertical="center" wrapText="1"/>
      <protection hidden="1"/>
    </xf>
    <xf numFmtId="0" fontId="1" fillId="24" borderId="18" xfId="0" applyFont="1" applyFill="1" applyBorder="1" applyAlignment="1" applyProtection="1">
      <alignment horizontal="center" vertical="center" wrapText="1"/>
      <protection hidden="1"/>
    </xf>
    <xf numFmtId="168" fontId="1" fillId="24" borderId="72" xfId="0" applyNumberFormat="1" applyFont="1" applyFill="1" applyBorder="1" applyAlignment="1" applyProtection="1">
      <alignment horizontal="center" vertical="center"/>
      <protection hidden="1"/>
    </xf>
    <xf numFmtId="168" fontId="1" fillId="24" borderId="74" xfId="0" applyNumberFormat="1" applyFont="1" applyFill="1" applyBorder="1" applyAlignment="1" applyProtection="1">
      <alignment horizontal="center" vertical="center"/>
      <protection hidden="1"/>
    </xf>
    <xf numFmtId="2" fontId="1" fillId="24" borderId="72" xfId="0" applyNumberFormat="1" applyFont="1" applyFill="1" applyBorder="1" applyAlignment="1" applyProtection="1">
      <alignment horizontal="center" vertical="center"/>
      <protection hidden="1"/>
    </xf>
    <xf numFmtId="2" fontId="1" fillId="24" borderId="74" xfId="0" applyNumberFormat="1" applyFont="1" applyFill="1" applyBorder="1" applyAlignment="1" applyProtection="1">
      <alignment horizontal="center" vertical="center"/>
      <protection hidden="1"/>
    </xf>
    <xf numFmtId="2" fontId="1" fillId="24" borderId="52" xfId="0" applyNumberFormat="1" applyFont="1" applyFill="1" applyBorder="1" applyAlignment="1" applyProtection="1">
      <alignment horizontal="center" vertical="center"/>
      <protection hidden="1"/>
    </xf>
    <xf numFmtId="2" fontId="1" fillId="24" borderId="53" xfId="0" applyNumberFormat="1" applyFont="1" applyFill="1" applyBorder="1" applyAlignment="1" applyProtection="1">
      <alignment horizontal="center" vertical="center"/>
      <protection hidden="1"/>
    </xf>
    <xf numFmtId="0" fontId="7" fillId="24" borderId="89" xfId="0" applyFont="1" applyFill="1" applyBorder="1" applyAlignment="1" applyProtection="1">
      <alignment horizontal="center" vertical="center"/>
      <protection hidden="1"/>
    </xf>
    <xf numFmtId="2" fontId="7" fillId="24" borderId="43" xfId="0" applyNumberFormat="1" applyFont="1" applyFill="1" applyBorder="1" applyAlignment="1" applyProtection="1">
      <alignment horizontal="center" vertical="center"/>
      <protection hidden="1"/>
    </xf>
    <xf numFmtId="2" fontId="7" fillId="24" borderId="45" xfId="0" applyNumberFormat="1" applyFont="1" applyFill="1" applyBorder="1" applyAlignment="1" applyProtection="1">
      <alignment horizontal="center" vertical="center"/>
      <protection hidden="1"/>
    </xf>
    <xf numFmtId="175" fontId="7" fillId="24" borderId="49" xfId="0" applyNumberFormat="1" applyFont="1" applyFill="1" applyBorder="1" applyAlignment="1" applyProtection="1">
      <alignment horizontal="center" vertical="center"/>
      <protection locked="0" hidden="1"/>
    </xf>
    <xf numFmtId="0" fontId="1" fillId="24" borderId="43" xfId="0" applyFont="1" applyFill="1" applyBorder="1" applyAlignment="1" applyProtection="1">
      <alignment horizontal="left"/>
      <protection hidden="1"/>
    </xf>
    <xf numFmtId="4" fontId="1" fillId="24" borderId="19" xfId="0" applyNumberFormat="1" applyFont="1" applyFill="1" applyBorder="1" applyAlignment="1" applyProtection="1">
      <alignment horizontal="center" vertical="center"/>
      <protection locked="0" hidden="1"/>
    </xf>
  </cellXfs>
  <cellStyles count="44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Incorreto" xfId="30" builtinId="27" customBuiltin="1"/>
    <cellStyle name="Neutra" xfId="31" builtinId="28" customBuiltin="1"/>
    <cellStyle name="Normal" xfId="0" builtinId="0"/>
    <cellStyle name="Nota" xfId="32" builtinId="10" customBuiltin="1"/>
    <cellStyle name="Porcentagem" xfId="43" builtinId="5"/>
    <cellStyle name="Saída" xfId="33" builtinId="21" customBuiltin="1"/>
    <cellStyle name="Texto de Aviso" xfId="34" builtinId="11" customBuiltin="1"/>
    <cellStyle name="Texto Explicativo" xfId="35" builtinId="53" customBuiltin="1"/>
    <cellStyle name="Título" xfId="36" builtinId="15" customBuiltin="1"/>
    <cellStyle name="Título 1" xfId="37" builtinId="16" customBuiltin="1"/>
    <cellStyle name="Título 2" xfId="38" builtinId="17" customBuiltin="1"/>
    <cellStyle name="Título 3" xfId="39" builtinId="18" customBuiltin="1"/>
    <cellStyle name="Título 4" xfId="40" builtinId="19" customBuiltin="1"/>
    <cellStyle name="Total" xfId="41" builtinId="25" customBuiltin="1"/>
    <cellStyle name="Vírgula" xfId="42" builtinId="3"/>
  </cellStyles>
  <dxfs count="0"/>
  <tableStyles count="0" defaultTableStyle="TableStyleMedium9" defaultPivotStyle="PivotStyleLight16"/>
  <colors>
    <mruColors>
      <color rgb="FF2A08B8"/>
      <color rgb="FF0000FF"/>
      <color rgb="FFEBF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1" u="none" strike="noStrike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r>
              <a:rPr lang="pt-BR"/>
              <a:t>CURVA  DE  COMPACTAÇÃO</a:t>
            </a:r>
          </a:p>
        </c:rich>
      </c:tx>
      <c:layout>
        <c:manualLayout>
          <c:xMode val="edge"/>
          <c:yMode val="edge"/>
          <c:x val="0.22896557683375987"/>
          <c:y val="7.788161993769597E-3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551724137931047E-2"/>
          <c:y val="0.12772605098515835"/>
          <c:w val="0.83172413793103461"/>
          <c:h val="0.73987651485305161"/>
        </c:manualLayout>
      </c:layout>
      <c:scatterChart>
        <c:scatterStyle val="smooth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8"/>
            <c:spPr>
              <a:solidFill>
                <a:srgbClr val="000000"/>
              </a:solidFill>
              <a:ln>
                <a:solidFill>
                  <a:srgbClr val="FFFFFF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trendline>
            <c:spPr>
              <a:ln w="38100">
                <a:solidFill>
                  <a:srgbClr val="993300"/>
                </a:solidFill>
                <a:prstDash val="solid"/>
              </a:ln>
            </c:spPr>
            <c:trendlineType val="poly"/>
            <c:order val="4"/>
            <c:dispRSqr val="0"/>
            <c:dispEq val="0"/>
          </c:trendline>
          <c:xVal>
            <c:numRef>
              <c:f>DENS!$M$23:$M$26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xVal>
          <c:yVal>
            <c:numRef>
              <c:f>DENS!$N$23:$N$26</c:f>
              <c:numCache>
                <c:formatCode>#,##0.000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138-47FB-864D-94BC8094BC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07350352"/>
        <c:axId val="-707349808"/>
      </c:scatterChart>
      <c:valAx>
        <c:axId val="-707350352"/>
        <c:scaling>
          <c:orientation val="minMax"/>
          <c:min val="2"/>
        </c:scaling>
        <c:delete val="0"/>
        <c:axPos val="b"/>
        <c:majorGridlines>
          <c:spPr>
            <a:ln w="25400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pt-BR"/>
                  <a:t>U M I D A D E  - %</a:t>
                </a:r>
              </a:p>
            </c:rich>
          </c:tx>
          <c:layout>
            <c:manualLayout>
              <c:xMode val="edge"/>
              <c:yMode val="edge"/>
              <c:x val="0.36551721158312001"/>
              <c:y val="0.931465646233481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endParaRPr lang="pt-BR"/>
          </a:p>
        </c:txPr>
        <c:crossAx val="-707349808"/>
        <c:crossesAt val="0"/>
        <c:crossBetween val="midCat"/>
        <c:majorUnit val="1"/>
        <c:minorUnit val="0.2"/>
      </c:valAx>
      <c:valAx>
        <c:axId val="-707349808"/>
        <c:scaling>
          <c:orientation val="minMax"/>
          <c:max val="2.25"/>
          <c:min val="1.25"/>
        </c:scaling>
        <c:delete val="0"/>
        <c:axPos val="l"/>
        <c:majorGridlines>
          <c:spPr>
            <a:ln w="25400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Arial Black"/>
                    <a:ea typeface="Arial Black"/>
                    <a:cs typeface="Arial Black"/>
                  </a:defRPr>
                </a:pPr>
                <a:r>
                  <a:rPr lang="pt-BR"/>
                  <a:t>D E N S I D A D E  </a:t>
                </a:r>
              </a:p>
            </c:rich>
          </c:tx>
          <c:layout>
            <c:manualLayout>
              <c:xMode val="edge"/>
              <c:yMode val="edge"/>
              <c:x val="0.93931038455583959"/>
              <c:y val="0.34423725071749173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#,##0.000" sourceLinked="0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 Black"/>
                <a:ea typeface="Arial Black"/>
                <a:cs typeface="Arial Black"/>
              </a:defRPr>
            </a:pPr>
            <a:endParaRPr lang="pt-BR"/>
          </a:p>
        </c:txPr>
        <c:crossAx val="-707350352"/>
        <c:crosses val="autoZero"/>
        <c:crossBetween val="midCat"/>
        <c:majorUnit val="5.0000000000000024E-2"/>
      </c:valAx>
      <c:spPr>
        <a:noFill/>
        <a:ln w="254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8100">
      <a:solidFill>
        <a:srgbClr val="000000"/>
      </a:solidFill>
      <a:prstDash val="solid"/>
    </a:ln>
  </c:spPr>
  <c:txPr>
    <a:bodyPr/>
    <a:lstStyle/>
    <a:p>
      <a:pPr>
        <a:defRPr sz="1000" b="1" i="0" u="none" strike="noStrike" baseline="0">
          <a:solidFill>
            <a:srgbClr val="0066CC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626" footer="0.49212598500000626"/>
    <c:pageSetup paperSize="9" orientation="landscape" horizontalDpi="300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75" b="1" i="1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/>
              <a:t>CURVA  PRESSÃO  -  PENETRAÇÃO</a:t>
            </a:r>
          </a:p>
        </c:rich>
      </c:tx>
      <c:layout>
        <c:manualLayout>
          <c:xMode val="edge"/>
          <c:yMode val="edge"/>
          <c:x val="0.23591567748522518"/>
          <c:y val="1.0288115126293624E-2"/>
        </c:manualLayout>
      </c:layout>
      <c:overlay val="0"/>
      <c:spPr>
        <a:solidFill>
          <a:srgbClr val="FFFFFF"/>
        </a:solidFill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218316064380971E-2"/>
          <c:y val="8.2304692131020568E-2"/>
          <c:w val="0.84683171389445744"/>
          <c:h val="0.792182661761059"/>
        </c:manualLayout>
      </c:layout>
      <c:scatterChart>
        <c:scatterStyle val="smoothMarker"/>
        <c:varyColors val="0"/>
        <c:ser>
          <c:idx val="1"/>
          <c:order val="0"/>
          <c:spPr>
            <a:ln w="38100">
              <a:solidFill>
                <a:srgbClr val="993300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333333"/>
              </a:solidFill>
              <a:ln>
                <a:solidFill>
                  <a:srgbClr val="FFFFFF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xVal>
            <c:numRef>
              <c:f>CBR!$G$37:$G$41</c:f>
              <c:numCache>
                <c:formatCode>0.000</c:formatCode>
                <c:ptCount val="5"/>
                <c:pt idx="0">
                  <c:v>2.5000000000000001E-2</c:v>
                </c:pt>
                <c:pt idx="1">
                  <c:v>0.05</c:v>
                </c:pt>
                <c:pt idx="2">
                  <c:v>0.1</c:v>
                </c:pt>
                <c:pt idx="3">
                  <c:v>0.2</c:v>
                </c:pt>
              </c:numCache>
            </c:numRef>
          </c:xVal>
          <c:yVal>
            <c:numRef>
              <c:f>CBR!$H$37:$H$41</c:f>
              <c:numCache>
                <c:formatCode>0.0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74A-4BF1-AF2C-BC2DC0967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707357968"/>
        <c:axId val="-707353616"/>
      </c:scatterChart>
      <c:valAx>
        <c:axId val="-707357968"/>
        <c:scaling>
          <c:orientation val="minMax"/>
          <c:max val="0.25"/>
          <c:min val="0"/>
        </c:scaling>
        <c:delete val="0"/>
        <c:axPos val="b"/>
        <c:majorGridlines>
          <c:spPr>
            <a:ln w="25400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PENETRAÇÃO</a:t>
                </a:r>
              </a:p>
            </c:rich>
          </c:tx>
          <c:layout>
            <c:manualLayout>
              <c:xMode val="edge"/>
              <c:yMode val="edge"/>
              <c:x val="0.40066777963272132"/>
              <c:y val="0.9391642964781578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707353616"/>
        <c:crosses val="autoZero"/>
        <c:crossBetween val="midCat"/>
        <c:majorUnit val="0.05"/>
        <c:minorUnit val="1.0000000000000005E-2"/>
      </c:valAx>
      <c:valAx>
        <c:axId val="-707353616"/>
        <c:scaling>
          <c:orientation val="minMax"/>
          <c:max val="300"/>
          <c:min val="200"/>
        </c:scaling>
        <c:delete val="0"/>
        <c:axPos val="l"/>
        <c:majorGridlines>
          <c:spPr>
            <a:ln w="25400">
              <a:solidFill>
                <a:srgbClr val="808080"/>
              </a:solidFill>
              <a:prstDash val="solid"/>
            </a:ln>
          </c:spPr>
        </c:majorGridlines>
        <c:minorGridlines>
          <c:spPr>
            <a:ln w="3175">
              <a:solidFill>
                <a:srgbClr val="80808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PRESSÃO</a:t>
                </a:r>
              </a:p>
            </c:rich>
          </c:tx>
          <c:layout>
            <c:manualLayout>
              <c:xMode val="edge"/>
              <c:yMode val="edge"/>
              <c:x val="0.94490818030050083"/>
              <c:y val="0.46197758550143231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25400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-707357968"/>
        <c:crosses val="autoZero"/>
        <c:crossBetween val="midCat"/>
        <c:majorUnit val="5"/>
        <c:minorUnit val="1"/>
      </c:valAx>
      <c:spPr>
        <a:noFill/>
        <a:ln w="254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8100">
      <a:solidFill>
        <a:srgbClr val="000000"/>
      </a:solidFill>
      <a:prstDash val="solid"/>
    </a:ln>
  </c:spPr>
  <c:txPr>
    <a:bodyPr/>
    <a:lstStyle/>
    <a:p>
      <a:pPr>
        <a:defRPr sz="1500" b="1" i="0" u="none" strike="noStrike" baseline="0">
          <a:solidFill>
            <a:srgbClr val="0066CC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0.98425196899999956" l="0.78740157499999996" r="0.78740157499999996" t="0.98425196899999956" header="0.49212598500000626" footer="0.49212598500000626"/>
    <c:pageSetup orientation="landscape" horizontalDpi="300" verticalDpi="3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371475</xdr:colOff>
      <xdr:row>45</xdr:row>
      <xdr:rowOff>123825</xdr:rowOff>
    </xdr:from>
    <xdr:to>
      <xdr:col>3</xdr:col>
      <xdr:colOff>371475</xdr:colOff>
      <xdr:row>45</xdr:row>
      <xdr:rowOff>123825</xdr:rowOff>
    </xdr:to>
    <xdr:sp macro="" textlink="">
      <xdr:nvSpPr>
        <xdr:cNvPr id="1044" name="Line 3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SpPr>
          <a:spLocks noChangeShapeType="1"/>
        </xdr:cNvSpPr>
      </xdr:nvSpPr>
      <xdr:spPr bwMode="auto">
        <a:xfrm>
          <a:off x="1609725" y="1030605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10</xdr:col>
      <xdr:colOff>0</xdr:colOff>
      <xdr:row>58</xdr:row>
      <xdr:rowOff>0</xdr:rowOff>
    </xdr:from>
    <xdr:to>
      <xdr:col>10</xdr:col>
      <xdr:colOff>304800</xdr:colOff>
      <xdr:row>58</xdr:row>
      <xdr:rowOff>74023</xdr:rowOff>
    </xdr:to>
    <xdr:sp macro="" textlink="">
      <xdr:nvSpPr>
        <xdr:cNvPr id="1048" name="AutoShape 5" descr="https://docs.google.com/?attid=0.1&amp;pid=gmail&amp;thid=13ddfa4b4fbd9a26&amp;url=https%3A%2F%2Fmail.google.com%2Fmail%2F%3Fui%3D2%26ik%3D69d6715e58%26view%3Datt%26th%3D13ddfa4b4fbd9a26%26attid%3D0.1%26disp%3Dsafe%26zw&amp;docid=1a28fa560021fe113a96505c65dfbdae%7Cd105e45b41dd529b7fd1b1b12823300d&amp;a=bi&amp;pagenumber=1&amp;w=777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6200775" y="129730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0</xdr:colOff>
      <xdr:row>28</xdr:row>
      <xdr:rowOff>28575</xdr:rowOff>
    </xdr:from>
    <xdr:to>
      <xdr:col>10</xdr:col>
      <xdr:colOff>742950</xdr:colOff>
      <xdr:row>56</xdr:row>
      <xdr:rowOff>200025</xdr:rowOff>
    </xdr:to>
    <xdr:graphicFrame macro="">
      <xdr:nvGraphicFramePr>
        <xdr:cNvPr id="1049" name="Chart 2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16566</xdr:colOff>
      <xdr:row>34</xdr:row>
      <xdr:rowOff>24847</xdr:rowOff>
    </xdr:from>
    <xdr:to>
      <xdr:col>11</xdr:col>
      <xdr:colOff>861391</xdr:colOff>
      <xdr:row>62</xdr:row>
      <xdr:rowOff>0</xdr:rowOff>
    </xdr:to>
    <xdr:graphicFrame macro="">
      <xdr:nvGraphicFramePr>
        <xdr:cNvPr id="3094" name="Chart 2">
          <a:extLst>
            <a:ext uri="{FF2B5EF4-FFF2-40B4-BE49-F238E27FC236}">
              <a16:creationId xmlns:a16="http://schemas.microsoft.com/office/drawing/2014/main" id="{00000000-0008-0000-0100-0000160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409575</xdr:colOff>
      <xdr:row>39</xdr:row>
      <xdr:rowOff>47625</xdr:rowOff>
    </xdr:from>
    <xdr:to>
      <xdr:col>4</xdr:col>
      <xdr:colOff>581025</xdr:colOff>
      <xdr:row>40</xdr:row>
      <xdr:rowOff>152400</xdr:rowOff>
    </xdr:to>
    <xdr:sp macro="" textlink="$E$34">
      <xdr:nvSpPr>
        <xdr:cNvPr id="75780" name="Text Box 4">
          <a:extLst>
            <a:ext uri="{FF2B5EF4-FFF2-40B4-BE49-F238E27FC236}">
              <a16:creationId xmlns:a16="http://schemas.microsoft.com/office/drawing/2014/main" id="{00000000-0008-0000-0100-000004280100}"/>
            </a:ext>
          </a:extLst>
        </xdr:cNvPr>
        <xdr:cNvSpPr txBox="1">
          <a:spLocks noChangeArrowheads="1" noTextEdit="1"/>
        </xdr:cNvSpPr>
      </xdr:nvSpPr>
      <xdr:spPr bwMode="auto">
        <a:xfrm>
          <a:off x="923925" y="7077075"/>
          <a:ext cx="723900" cy="266700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vertOverflow="clip" wrap="square" lIns="27432" tIns="27432" rIns="0" bIns="0" anchor="t" upright="1"/>
        <a:lstStyle/>
        <a:p>
          <a:pPr algn="l" rtl="1">
            <a:defRPr sz="1000"/>
          </a:pPr>
          <a:fld id="{6FBE54DF-FBBA-4E09-9357-8D902C498645}" type="TxLink">
            <a:rPr lang="pt-BR" sz="1200" b="1" i="1" u="none" strike="noStrike">
              <a:solidFill>
                <a:srgbClr val="FF0000"/>
              </a:solidFill>
              <a:latin typeface="Arial Narrow"/>
            </a:rPr>
            <a:pPr algn="l" rtl="1">
              <a:defRPr sz="1000"/>
            </a:pPr>
            <a:t>CBR  =</a:t>
          </a:fld>
          <a:endParaRPr lang="pt-BR" sz="1200" b="1" i="1" strike="noStrike">
            <a:solidFill>
              <a:srgbClr val="FF0000"/>
            </a:solidFill>
            <a:latin typeface="Arial Narrow"/>
          </a:endParaRPr>
        </a:p>
      </xdr:txBody>
    </xdr:sp>
    <xdr:clientData/>
  </xdr:twoCellAnchor>
  <xdr:twoCellAnchor>
    <xdr:from>
      <xdr:col>4</xdr:col>
      <xdr:colOff>342900</xdr:colOff>
      <xdr:row>39</xdr:row>
      <xdr:rowOff>66675</xdr:rowOff>
    </xdr:from>
    <xdr:to>
      <xdr:col>5</xdr:col>
      <xdr:colOff>149087</xdr:colOff>
      <xdr:row>40</xdr:row>
      <xdr:rowOff>152400</xdr:rowOff>
    </xdr:to>
    <xdr:sp macro="" textlink="$F$34">
      <xdr:nvSpPr>
        <xdr:cNvPr id="75781" name="Text Box 5">
          <a:extLst>
            <a:ext uri="{FF2B5EF4-FFF2-40B4-BE49-F238E27FC236}">
              <a16:creationId xmlns:a16="http://schemas.microsoft.com/office/drawing/2014/main" id="{00000000-0008-0000-0100-000005280100}"/>
            </a:ext>
          </a:extLst>
        </xdr:cNvPr>
        <xdr:cNvSpPr txBox="1">
          <a:spLocks noChangeArrowheads="1" noTextEdit="1"/>
        </xdr:cNvSpPr>
      </xdr:nvSpPr>
      <xdr:spPr bwMode="auto">
        <a:xfrm>
          <a:off x="2049117" y="7471327"/>
          <a:ext cx="394253" cy="251377"/>
        </a:xfrm>
        <a:prstGeom prst="rect">
          <a:avLst/>
        </a:prstGeom>
        <a:solidFill>
          <a:srgbClr val="FFFFFF"/>
        </a:solidFill>
        <a:ln w="9525" algn="ctr">
          <a:noFill/>
          <a:miter lim="800000"/>
          <a:headEnd/>
          <a:tailEnd/>
        </a:ln>
        <a:effectLst/>
      </xdr:spPr>
      <xdr:txBody>
        <a:bodyPr vertOverflow="clip" wrap="square" lIns="36576" tIns="27432" rIns="0" bIns="0" anchor="t" upright="1"/>
        <a:lstStyle/>
        <a:p>
          <a:pPr algn="l" rtl="1">
            <a:defRPr sz="1000"/>
          </a:pPr>
          <a:fld id="{B765C3BE-4E9A-49AE-92DB-B8F3B6AE33F6}" type="TxLink">
            <a:rPr lang="en-US" sz="1000" b="1" i="0" u="none" strike="noStrike">
              <a:solidFill>
                <a:srgbClr val="FF0000"/>
              </a:solidFill>
              <a:latin typeface="Arial"/>
              <a:cs typeface="Arial"/>
            </a:rPr>
            <a:pPr algn="l" rtl="1">
              <a:defRPr sz="1000"/>
            </a:pPr>
            <a:t>0%</a:t>
          </a:fld>
          <a:endParaRPr lang="pt-BR" sz="1200" b="1" i="0" strike="noStrike">
            <a:solidFill>
              <a:srgbClr val="FF0000"/>
            </a:solidFill>
            <a:latin typeface="Arial"/>
            <a:cs typeface="Arial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User\Meus%20documentos\backup%20lucenize\Arquivos-Antonio%20Fernandes\PB-251\ArqEsc_2\PB-251\ArqExcel\DensCBR\Subbase\SubBase_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NS1"/>
      <sheetName val="GRAN (2)"/>
      <sheetName val="DENS2"/>
      <sheetName val="DENS3"/>
      <sheetName val="DENS4"/>
      <sheetName val="DENS5"/>
      <sheetName val="Plan7"/>
    </sheetNames>
    <sheetDataSet>
      <sheetData sheetId="0">
        <row r="21">
          <cell r="M21">
            <v>1953.6505043319767</v>
          </cell>
        </row>
        <row r="22">
          <cell r="M22">
            <v>2029.0793380314574</v>
          </cell>
        </row>
        <row r="23">
          <cell r="M23">
            <v>2103.3134401840057</v>
          </cell>
        </row>
        <row r="24">
          <cell r="M24">
            <v>2103.9095595050844</v>
          </cell>
        </row>
        <row r="25">
          <cell r="M25">
            <v>1972.0173289712095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Fundição">
  <a:themeElements>
    <a:clrScheme name="Fundição">
      <a:dk1>
        <a:sysClr val="windowText" lastClr="000000"/>
      </a:dk1>
      <a:lt1>
        <a:sysClr val="window" lastClr="FFFFFF"/>
      </a:lt1>
      <a:dk2>
        <a:srgbClr val="676A55"/>
      </a:dk2>
      <a:lt2>
        <a:srgbClr val="EAEBDE"/>
      </a:lt2>
      <a:accent1>
        <a:srgbClr val="72A376"/>
      </a:accent1>
      <a:accent2>
        <a:srgbClr val="B0CCB0"/>
      </a:accent2>
      <a:accent3>
        <a:srgbClr val="A8CDD7"/>
      </a:accent3>
      <a:accent4>
        <a:srgbClr val="C0BEAF"/>
      </a:accent4>
      <a:accent5>
        <a:srgbClr val="CEC597"/>
      </a:accent5>
      <a:accent6>
        <a:srgbClr val="E8B7B7"/>
      </a:accent6>
      <a:hlink>
        <a:srgbClr val="DB5353"/>
      </a:hlink>
      <a:folHlink>
        <a:srgbClr val="903638"/>
      </a:folHlink>
    </a:clrScheme>
    <a:fontScheme name="Fundição">
      <a:maj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微軟正黑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Rockwell"/>
        <a:ea typeface=""/>
        <a:cs typeface=""/>
        <a:font script="Grek" typeface="Cambria"/>
        <a:font script="Cyrl" typeface="Cambria"/>
        <a:font script="Jpan" typeface="HG明朝B"/>
        <a:font script="Hang" typeface="바탕"/>
        <a:font script="Hans" typeface="方正姚体"/>
        <a:font script="Hant" typeface="標楷體"/>
        <a:font script="Arab" typeface="Times New Roman"/>
        <a:font script="Hebr" typeface="David"/>
        <a:font script="Thai" typeface="Jasmine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Fundição">
      <a:fillStyleLst>
        <a:solidFill>
          <a:schemeClr val="phClr"/>
        </a:solidFill>
        <a:gradFill rotWithShape="1">
          <a:gsLst>
            <a:gs pos="0">
              <a:schemeClr val="phClr">
                <a:tint val="70000"/>
                <a:satMod val="180000"/>
              </a:schemeClr>
            </a:gs>
            <a:gs pos="62000">
              <a:schemeClr val="phClr">
                <a:tint val="30000"/>
                <a:satMod val="180000"/>
              </a:schemeClr>
            </a:gs>
            <a:gs pos="100000">
              <a:schemeClr val="phClr">
                <a:tint val="22000"/>
                <a:satMod val="18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58000"/>
                <a:satMod val="150000"/>
              </a:schemeClr>
            </a:gs>
            <a:gs pos="72000">
              <a:schemeClr val="phClr">
                <a:tint val="90000"/>
                <a:satMod val="135000"/>
              </a:schemeClr>
            </a:gs>
            <a:gs pos="100000">
              <a:schemeClr val="phClr">
                <a:tint val="8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80000"/>
            </a:schemeClr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43137"/>
              </a:srgbClr>
            </a:outerShdw>
          </a:effectLst>
          <a:scene3d>
            <a:camera prst="orthographicFront" fov="0">
              <a:rot lat="0" lon="0" rev="0"/>
            </a:camera>
            <a:lightRig rig="soft" dir="tl">
              <a:rot lat="0" lon="0" rev="20000000"/>
            </a:lightRig>
          </a:scene3d>
          <a:sp3d prstMaterial="matte">
            <a:bevelT w="63500" h="63500" prst="coolSlant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75000"/>
                <a:satMod val="400000"/>
              </a:schemeClr>
            </a:gs>
            <a:gs pos="20000">
              <a:schemeClr val="phClr">
                <a:tint val="80000"/>
                <a:satMod val="355000"/>
              </a:schemeClr>
            </a:gs>
            <a:gs pos="100000">
              <a:schemeClr val="phClr">
                <a:tint val="95000"/>
                <a:shade val="55000"/>
                <a:satMod val="355000"/>
              </a:schemeClr>
            </a:gs>
          </a:gsLst>
          <a:path path="circle">
            <a:fillToRect l="67500" t="35000" r="32500" b="65000"/>
          </a:path>
        </a:gradFill>
        <a:blipFill>
          <a:blip xmlns:r="http://schemas.openxmlformats.org/officeDocument/2006/relationships" r:embed="rId1">
            <a:duotone>
              <a:schemeClr val="phClr">
                <a:shade val="30000"/>
                <a:satMod val="120000"/>
              </a:schemeClr>
              <a:schemeClr val="phClr">
                <a:tint val="70000"/>
                <a:satMod val="250000"/>
              </a:schemeClr>
            </a:duotone>
          </a:blip>
          <a:tile tx="0" ty="0" sx="50000" sy="50000" flip="none" algn="t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>
    <pageSetUpPr fitToPage="1"/>
  </sheetPr>
  <dimension ref="B1:S63"/>
  <sheetViews>
    <sheetView showGridLines="0" tabSelected="1" view="pageBreakPreview" topLeftCell="A10" zoomScaleSheetLayoutView="100" workbookViewId="0">
      <selection activeCell="C23" sqref="C23:E27"/>
    </sheetView>
  </sheetViews>
  <sheetFormatPr defaultColWidth="9.109375" defaultRowHeight="13.2" x14ac:dyDescent="0.25"/>
  <cols>
    <col min="1" max="1" width="5.109375" style="53" customWidth="1"/>
    <col min="2" max="2" width="7" style="53" customWidth="1"/>
    <col min="3" max="3" width="10.109375" style="53" bestFit="1" customWidth="1"/>
    <col min="4" max="4" width="11.6640625" style="53" customWidth="1"/>
    <col min="5" max="5" width="10.44140625" style="53" customWidth="1"/>
    <col min="6" max="6" width="9.33203125" style="53" customWidth="1"/>
    <col min="7" max="7" width="9.6640625" style="53" customWidth="1"/>
    <col min="8" max="8" width="11.6640625" style="53" customWidth="1"/>
    <col min="9" max="9" width="12.6640625" style="53" customWidth="1"/>
    <col min="10" max="10" width="10.44140625" style="53" customWidth="1"/>
    <col min="11" max="11" width="11.6640625" style="53" customWidth="1"/>
    <col min="12" max="12" width="10.6640625" style="53" customWidth="1"/>
    <col min="13" max="13" width="9" style="53" customWidth="1"/>
    <col min="14" max="14" width="9.6640625" style="53" customWidth="1"/>
    <col min="15" max="16384" width="9.109375" style="53"/>
  </cols>
  <sheetData>
    <row r="1" spans="2:14" ht="13.8" thickBot="1" x14ac:dyDescent="0.3"/>
    <row r="2" spans="2:14" ht="54" customHeight="1" x14ac:dyDescent="0.25">
      <c r="B2" s="257" t="s">
        <v>186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9"/>
    </row>
    <row r="3" spans="2:14" ht="15" customHeight="1" x14ac:dyDescent="0.25">
      <c r="B3" s="255" t="s">
        <v>182</v>
      </c>
      <c r="C3" s="256"/>
      <c r="D3" s="256"/>
      <c r="E3" s="270"/>
      <c r="F3" s="61" t="s">
        <v>185</v>
      </c>
      <c r="G3" s="271"/>
      <c r="H3" s="271"/>
      <c r="I3" s="271"/>
      <c r="J3" s="272"/>
      <c r="K3" s="58" t="s">
        <v>168</v>
      </c>
      <c r="L3" s="183"/>
      <c r="M3" s="184" t="s">
        <v>220</v>
      </c>
      <c r="N3" s="185"/>
    </row>
    <row r="4" spans="2:14" ht="15" customHeight="1" x14ac:dyDescent="0.25">
      <c r="B4" s="267" t="s">
        <v>177</v>
      </c>
      <c r="C4" s="268"/>
      <c r="D4" s="268"/>
      <c r="E4" s="269"/>
      <c r="F4" s="260" t="s">
        <v>177</v>
      </c>
      <c r="G4" s="260"/>
      <c r="H4" s="260"/>
      <c r="I4" s="260"/>
      <c r="J4" s="261"/>
      <c r="K4" s="262" t="s">
        <v>177</v>
      </c>
      <c r="L4" s="261"/>
      <c r="M4" s="263" t="s">
        <v>177</v>
      </c>
      <c r="N4" s="264"/>
    </row>
    <row r="5" spans="2:14" ht="15" customHeight="1" x14ac:dyDescent="0.25">
      <c r="B5" s="273" t="s">
        <v>177</v>
      </c>
      <c r="C5" s="274"/>
      <c r="D5" s="274"/>
      <c r="E5" s="274"/>
      <c r="F5" s="274"/>
      <c r="G5" s="274"/>
      <c r="H5" s="274"/>
      <c r="I5" s="274"/>
      <c r="J5" s="275"/>
      <c r="K5" s="58" t="s">
        <v>221</v>
      </c>
      <c r="L5" s="102"/>
      <c r="M5" s="265" t="s">
        <v>11</v>
      </c>
      <c r="N5" s="266"/>
    </row>
    <row r="6" spans="2:14" ht="15" customHeight="1" x14ac:dyDescent="0.25">
      <c r="B6" s="276"/>
      <c r="C6" s="277"/>
      <c r="D6" s="277"/>
      <c r="E6" s="277"/>
      <c r="F6" s="277"/>
      <c r="G6" s="277"/>
      <c r="H6" s="277"/>
      <c r="I6" s="277"/>
      <c r="J6" s="278"/>
      <c r="K6" s="281" t="s">
        <v>228</v>
      </c>
      <c r="L6" s="261"/>
      <c r="M6" s="279"/>
      <c r="N6" s="280"/>
    </row>
    <row r="7" spans="2:14" ht="15" customHeight="1" x14ac:dyDescent="0.25">
      <c r="B7" s="255" t="s">
        <v>183</v>
      </c>
      <c r="C7" s="256"/>
      <c r="D7" s="173"/>
      <c r="E7" s="186"/>
      <c r="F7" s="282" t="s">
        <v>184</v>
      </c>
      <c r="G7" s="283"/>
      <c r="H7" s="184"/>
      <c r="I7" s="186"/>
      <c r="J7" s="282" t="s">
        <v>188</v>
      </c>
      <c r="K7" s="283"/>
      <c r="L7" s="283"/>
      <c r="M7" s="283"/>
      <c r="N7" s="284"/>
    </row>
    <row r="8" spans="2:14" ht="15" customHeight="1" thickBot="1" x14ac:dyDescent="0.3">
      <c r="B8" s="314" t="s">
        <v>177</v>
      </c>
      <c r="C8" s="309"/>
      <c r="D8" s="309"/>
      <c r="E8" s="310"/>
      <c r="F8" s="308" t="s">
        <v>177</v>
      </c>
      <c r="G8" s="309"/>
      <c r="H8" s="309"/>
      <c r="I8" s="310"/>
      <c r="J8" s="296" t="s">
        <v>177</v>
      </c>
      <c r="K8" s="297"/>
      <c r="L8" s="297"/>
      <c r="M8" s="297"/>
      <c r="N8" s="298"/>
    </row>
    <row r="9" spans="2:14" ht="15" customHeight="1" x14ac:dyDescent="0.25">
      <c r="B9" s="334" t="s">
        <v>71</v>
      </c>
      <c r="C9" s="300"/>
      <c r="D9" s="300"/>
      <c r="E9" s="300"/>
      <c r="F9" s="335"/>
      <c r="G9" s="187" t="s">
        <v>3</v>
      </c>
      <c r="H9" s="299" t="s">
        <v>65</v>
      </c>
      <c r="I9" s="300"/>
      <c r="J9" s="300"/>
      <c r="K9" s="300"/>
      <c r="L9" s="300"/>
      <c r="M9" s="300"/>
      <c r="N9" s="301"/>
    </row>
    <row r="10" spans="2:14" ht="15.6" x14ac:dyDescent="0.25">
      <c r="B10" s="307" t="s">
        <v>4</v>
      </c>
      <c r="C10" s="288"/>
      <c r="D10" s="288"/>
      <c r="E10" s="288"/>
      <c r="F10" s="289"/>
      <c r="G10" s="188" t="s">
        <v>177</v>
      </c>
      <c r="H10" s="285" t="s">
        <v>203</v>
      </c>
      <c r="I10" s="274"/>
      <c r="J10" s="274"/>
      <c r="K10" s="274"/>
      <c r="L10" s="274"/>
      <c r="M10" s="275"/>
      <c r="N10" s="302" t="s">
        <v>224</v>
      </c>
    </row>
    <row r="11" spans="2:14" x14ac:dyDescent="0.25">
      <c r="B11" s="307" t="s">
        <v>198</v>
      </c>
      <c r="C11" s="288"/>
      <c r="D11" s="288"/>
      <c r="E11" s="288"/>
      <c r="F11" s="289"/>
      <c r="G11" s="189"/>
      <c r="H11" s="286"/>
      <c r="I11" s="277"/>
      <c r="J11" s="277"/>
      <c r="K11" s="277"/>
      <c r="L11" s="277"/>
      <c r="M11" s="278"/>
      <c r="N11" s="303"/>
    </row>
    <row r="12" spans="2:14" ht="14.25" customHeight="1" x14ac:dyDescent="0.25">
      <c r="B12" s="307" t="s">
        <v>199</v>
      </c>
      <c r="C12" s="288"/>
      <c r="D12" s="288"/>
      <c r="E12" s="288"/>
      <c r="F12" s="289"/>
      <c r="G12" s="189"/>
      <c r="H12" s="318" t="s">
        <v>202</v>
      </c>
      <c r="I12" s="312"/>
      <c r="J12" s="312"/>
      <c r="K12" s="312"/>
      <c r="L12" s="312"/>
      <c r="M12" s="313"/>
      <c r="N12" s="229" t="s">
        <v>223</v>
      </c>
    </row>
    <row r="13" spans="2:14" x14ac:dyDescent="0.25">
      <c r="B13" s="311" t="s">
        <v>6</v>
      </c>
      <c r="C13" s="312"/>
      <c r="D13" s="312"/>
      <c r="E13" s="312"/>
      <c r="F13" s="313"/>
      <c r="G13" s="190"/>
      <c r="H13" s="318" t="s">
        <v>206</v>
      </c>
      <c r="I13" s="312"/>
      <c r="J13" s="312"/>
      <c r="K13" s="312"/>
      <c r="L13" s="312"/>
      <c r="M13" s="313"/>
      <c r="N13" s="191" t="s">
        <v>223</v>
      </c>
    </row>
    <row r="14" spans="2:14" ht="12.75" customHeight="1" x14ac:dyDescent="0.25">
      <c r="B14" s="307" t="s">
        <v>200</v>
      </c>
      <c r="C14" s="288"/>
      <c r="D14" s="288"/>
      <c r="E14" s="288"/>
      <c r="F14" s="289"/>
      <c r="G14" s="230"/>
      <c r="H14" s="287" t="s">
        <v>5</v>
      </c>
      <c r="I14" s="288"/>
      <c r="J14" s="288"/>
      <c r="K14" s="288"/>
      <c r="L14" s="288"/>
      <c r="M14" s="289"/>
      <c r="N14" s="233">
        <v>2.0680000000000001</v>
      </c>
    </row>
    <row r="15" spans="2:14" x14ac:dyDescent="0.25">
      <c r="B15" s="307" t="s">
        <v>201</v>
      </c>
      <c r="C15" s="288"/>
      <c r="D15" s="288"/>
      <c r="E15" s="288"/>
      <c r="F15" s="289"/>
      <c r="G15" s="230">
        <f>G12-G13</f>
        <v>0</v>
      </c>
      <c r="H15" s="287" t="s">
        <v>207</v>
      </c>
      <c r="I15" s="288"/>
      <c r="J15" s="288"/>
      <c r="K15" s="288"/>
      <c r="L15" s="288"/>
      <c r="M15" s="289"/>
      <c r="N15" s="233">
        <v>5.4139999999999997</v>
      </c>
    </row>
    <row r="16" spans="2:14" x14ac:dyDescent="0.25">
      <c r="B16" s="293" t="s">
        <v>7</v>
      </c>
      <c r="C16" s="294"/>
      <c r="D16" s="294"/>
      <c r="E16" s="294"/>
      <c r="F16" s="295"/>
      <c r="G16" s="246" t="e">
        <f>G14/G15*100</f>
        <v>#DIV/0!</v>
      </c>
      <c r="H16" s="287" t="s">
        <v>208</v>
      </c>
      <c r="I16" s="288"/>
      <c r="J16" s="288"/>
      <c r="K16" s="288"/>
      <c r="L16" s="288"/>
      <c r="M16" s="289"/>
      <c r="N16" s="234">
        <v>4.5359999999999996</v>
      </c>
    </row>
    <row r="17" spans="2:17" ht="13.8" thickBot="1" x14ac:dyDescent="0.3">
      <c r="B17" s="290" t="s">
        <v>219</v>
      </c>
      <c r="C17" s="291"/>
      <c r="D17" s="291"/>
      <c r="E17" s="291"/>
      <c r="F17" s="292"/>
      <c r="G17" s="246" t="e">
        <f>G16</f>
        <v>#DIV/0!</v>
      </c>
      <c r="H17" s="304" t="s">
        <v>218</v>
      </c>
      <c r="I17" s="305"/>
      <c r="J17" s="305"/>
      <c r="K17" s="305"/>
      <c r="L17" s="305"/>
      <c r="M17" s="306"/>
      <c r="N17" s="192">
        <v>2.5</v>
      </c>
    </row>
    <row r="18" spans="2:17" ht="47.25" customHeight="1" thickTop="1" x14ac:dyDescent="0.25">
      <c r="B18" s="360" t="s">
        <v>212</v>
      </c>
      <c r="C18" s="354" t="s">
        <v>204</v>
      </c>
      <c r="D18" s="331" t="s">
        <v>205</v>
      </c>
      <c r="E18" s="331" t="s">
        <v>0</v>
      </c>
      <c r="F18" s="363" t="s">
        <v>217</v>
      </c>
      <c r="G18" s="364"/>
      <c r="H18" s="364"/>
      <c r="I18" s="364"/>
      <c r="J18" s="364"/>
      <c r="K18" s="364"/>
      <c r="L18" s="365"/>
      <c r="M18" s="319" t="s">
        <v>8</v>
      </c>
      <c r="N18" s="348" t="s">
        <v>216</v>
      </c>
    </row>
    <row r="19" spans="2:17" x14ac:dyDescent="0.25">
      <c r="B19" s="361"/>
      <c r="C19" s="355"/>
      <c r="D19" s="332"/>
      <c r="E19" s="332"/>
      <c r="F19" s="315" t="s">
        <v>214</v>
      </c>
      <c r="G19" s="315" t="s">
        <v>210</v>
      </c>
      <c r="H19" s="315" t="s">
        <v>209</v>
      </c>
      <c r="I19" s="315" t="s">
        <v>211</v>
      </c>
      <c r="J19" s="315" t="s">
        <v>213</v>
      </c>
      <c r="K19" s="315" t="s">
        <v>215</v>
      </c>
      <c r="L19" s="315" t="s">
        <v>10</v>
      </c>
      <c r="M19" s="320"/>
      <c r="N19" s="349"/>
    </row>
    <row r="20" spans="2:17" x14ac:dyDescent="0.25">
      <c r="B20" s="361"/>
      <c r="C20" s="355"/>
      <c r="D20" s="332"/>
      <c r="E20" s="332"/>
      <c r="F20" s="316"/>
      <c r="G20" s="316"/>
      <c r="H20" s="316"/>
      <c r="I20" s="316"/>
      <c r="J20" s="316"/>
      <c r="K20" s="316"/>
      <c r="L20" s="316"/>
      <c r="M20" s="320"/>
      <c r="N20" s="349"/>
    </row>
    <row r="21" spans="2:17" ht="21.75" customHeight="1" x14ac:dyDescent="0.25">
      <c r="B21" s="362"/>
      <c r="C21" s="355"/>
      <c r="D21" s="333"/>
      <c r="E21" s="333"/>
      <c r="F21" s="317"/>
      <c r="G21" s="317"/>
      <c r="H21" s="317"/>
      <c r="I21" s="317"/>
      <c r="J21" s="317"/>
      <c r="K21" s="317"/>
      <c r="L21" s="317"/>
      <c r="M21" s="321"/>
      <c r="N21" s="350"/>
    </row>
    <row r="22" spans="2:17" ht="12.75" customHeight="1" x14ac:dyDescent="0.25">
      <c r="B22" s="193" t="s">
        <v>1</v>
      </c>
      <c r="C22" s="194" t="s">
        <v>2</v>
      </c>
      <c r="D22" s="194" t="s">
        <v>2</v>
      </c>
      <c r="E22" s="194" t="s">
        <v>72</v>
      </c>
      <c r="F22" s="195" t="s">
        <v>1</v>
      </c>
      <c r="G22" s="194" t="s">
        <v>2</v>
      </c>
      <c r="H22" s="194" t="s">
        <v>2</v>
      </c>
      <c r="I22" s="194" t="s">
        <v>2</v>
      </c>
      <c r="J22" s="194" t="s">
        <v>2</v>
      </c>
      <c r="K22" s="194" t="s">
        <v>2</v>
      </c>
      <c r="L22" s="194" t="s">
        <v>3</v>
      </c>
      <c r="M22" s="194" t="s">
        <v>3</v>
      </c>
      <c r="N22" s="196" t="s">
        <v>72</v>
      </c>
    </row>
    <row r="23" spans="2:17" ht="26.25" customHeight="1" thickBot="1" x14ac:dyDescent="0.3">
      <c r="B23" s="197">
        <v>1</v>
      </c>
      <c r="C23" s="494"/>
      <c r="D23" s="494"/>
      <c r="E23" s="494"/>
      <c r="F23" s="198" t="s">
        <v>177</v>
      </c>
      <c r="G23" s="199">
        <f>I23+J23+K23</f>
        <v>0</v>
      </c>
      <c r="H23" s="199">
        <f>I23+K23</f>
        <v>0</v>
      </c>
      <c r="I23" s="199"/>
      <c r="J23" s="240"/>
      <c r="K23" s="240"/>
      <c r="L23" s="245" t="e">
        <f>J23/K23*100</f>
        <v>#DIV/0!</v>
      </c>
      <c r="M23" s="245" t="e">
        <f>L23</f>
        <v>#DIV/0!</v>
      </c>
      <c r="N23" s="244" t="e">
        <f>E23/(1+(M23/100))</f>
        <v>#DIV/0!</v>
      </c>
      <c r="O23" s="243"/>
      <c r="P23" s="242"/>
      <c r="Q23" s="242"/>
    </row>
    <row r="24" spans="2:17" ht="26.25" customHeight="1" thickTop="1" thickBot="1" x14ac:dyDescent="0.3">
      <c r="B24" s="197">
        <v>2</v>
      </c>
      <c r="C24" s="494"/>
      <c r="D24" s="494"/>
      <c r="E24" s="494"/>
      <c r="F24" s="198" t="s">
        <v>177</v>
      </c>
      <c r="G24" s="199">
        <f t="shared" ref="G24:G27" si="0">I24+J24+K24</f>
        <v>0</v>
      </c>
      <c r="H24" s="199">
        <f t="shared" ref="H24:H27" si="1">I24+K24</f>
        <v>0</v>
      </c>
      <c r="I24" s="199"/>
      <c r="J24" s="240"/>
      <c r="K24" s="240"/>
      <c r="L24" s="245" t="e">
        <f t="shared" ref="L24:L27" si="2">J24/K24*100</f>
        <v>#DIV/0!</v>
      </c>
      <c r="M24" s="245" t="e">
        <f t="shared" ref="M24:M27" si="3">L24</f>
        <v>#DIV/0!</v>
      </c>
      <c r="N24" s="244" t="e">
        <f t="shared" ref="N24:N27" si="4">E24/(1+(M24/100))</f>
        <v>#DIV/0!</v>
      </c>
      <c r="O24" s="243"/>
    </row>
    <row r="25" spans="2:17" ht="26.25" customHeight="1" thickTop="1" thickBot="1" x14ac:dyDescent="0.3">
      <c r="B25" s="197">
        <v>3</v>
      </c>
      <c r="C25" s="494"/>
      <c r="D25" s="494"/>
      <c r="E25" s="494"/>
      <c r="F25" s="198" t="s">
        <v>177</v>
      </c>
      <c r="G25" s="199">
        <f t="shared" si="0"/>
        <v>0</v>
      </c>
      <c r="H25" s="199">
        <f t="shared" si="1"/>
        <v>0</v>
      </c>
      <c r="I25" s="199"/>
      <c r="J25" s="240"/>
      <c r="K25" s="240"/>
      <c r="L25" s="245" t="e">
        <f t="shared" si="2"/>
        <v>#DIV/0!</v>
      </c>
      <c r="M25" s="245" t="e">
        <f t="shared" si="3"/>
        <v>#DIV/0!</v>
      </c>
      <c r="N25" s="244" t="e">
        <f t="shared" si="4"/>
        <v>#DIV/0!</v>
      </c>
      <c r="O25" s="243"/>
    </row>
    <row r="26" spans="2:17" ht="24.75" customHeight="1" thickTop="1" thickBot="1" x14ac:dyDescent="0.3">
      <c r="B26" s="197">
        <v>4</v>
      </c>
      <c r="C26" s="494"/>
      <c r="D26" s="494"/>
      <c r="E26" s="494"/>
      <c r="F26" s="198" t="s">
        <v>177</v>
      </c>
      <c r="G26" s="199">
        <f t="shared" si="0"/>
        <v>0</v>
      </c>
      <c r="H26" s="199">
        <f t="shared" si="1"/>
        <v>0</v>
      </c>
      <c r="I26" s="199"/>
      <c r="J26" s="240"/>
      <c r="K26" s="240"/>
      <c r="L26" s="245" t="e">
        <f t="shared" si="2"/>
        <v>#DIV/0!</v>
      </c>
      <c r="M26" s="245" t="e">
        <f t="shared" si="3"/>
        <v>#DIV/0!</v>
      </c>
      <c r="N26" s="244" t="e">
        <f t="shared" si="4"/>
        <v>#DIV/0!</v>
      </c>
      <c r="O26" s="243"/>
    </row>
    <row r="27" spans="2:17" ht="24" customHeight="1" thickTop="1" thickBot="1" x14ac:dyDescent="0.3">
      <c r="B27" s="200">
        <v>5</v>
      </c>
      <c r="C27" s="494"/>
      <c r="D27" s="494"/>
      <c r="E27" s="494"/>
      <c r="F27" s="232" t="s">
        <v>177</v>
      </c>
      <c r="G27" s="241">
        <f t="shared" si="0"/>
        <v>0</v>
      </c>
      <c r="H27" s="240">
        <f t="shared" si="1"/>
        <v>0</v>
      </c>
      <c r="I27" s="201"/>
      <c r="J27" s="201"/>
      <c r="K27" s="240"/>
      <c r="L27" s="245" t="e">
        <f t="shared" si="2"/>
        <v>#DIV/0!</v>
      </c>
      <c r="M27" s="245" t="e">
        <f t="shared" si="3"/>
        <v>#DIV/0!</v>
      </c>
      <c r="N27" s="244" t="e">
        <f t="shared" si="4"/>
        <v>#DIV/0!</v>
      </c>
    </row>
    <row r="28" spans="2:17" ht="7.05" customHeight="1" thickTop="1" thickBot="1" x14ac:dyDescent="0.3">
      <c r="B28" s="356"/>
      <c r="C28" s="357"/>
      <c r="D28" s="357"/>
      <c r="E28" s="357"/>
      <c r="F28" s="358"/>
      <c r="G28" s="358"/>
      <c r="H28" s="358"/>
      <c r="I28" s="357"/>
      <c r="J28" s="357"/>
      <c r="K28" s="357"/>
      <c r="L28" s="357"/>
      <c r="M28" s="357"/>
      <c r="N28" s="359"/>
    </row>
    <row r="29" spans="2:17" ht="16.95" customHeight="1" thickTop="1" thickBot="1" x14ac:dyDescent="0.3">
      <c r="B29" s="142"/>
      <c r="C29" s="120"/>
      <c r="D29" s="120"/>
      <c r="E29" s="120"/>
      <c r="F29" s="120"/>
      <c r="G29" s="120"/>
      <c r="H29" s="120"/>
      <c r="I29" s="120"/>
      <c r="J29" s="120"/>
      <c r="K29" s="120"/>
      <c r="L29" s="202"/>
      <c r="M29" s="166"/>
      <c r="N29" s="167"/>
    </row>
    <row r="30" spans="2:17" ht="16.95" customHeight="1" x14ac:dyDescent="0.25">
      <c r="B30" s="142"/>
      <c r="C30" s="120"/>
      <c r="D30" s="120"/>
      <c r="E30" s="120"/>
      <c r="F30" s="120"/>
      <c r="G30" s="120"/>
      <c r="H30" s="120"/>
      <c r="I30" s="120"/>
      <c r="J30" s="120"/>
      <c r="K30" s="120"/>
      <c r="L30" s="322" t="s">
        <v>128</v>
      </c>
      <c r="M30" s="323"/>
      <c r="N30" s="324"/>
    </row>
    <row r="31" spans="2:17" ht="16.95" customHeight="1" x14ac:dyDescent="0.3">
      <c r="B31" s="142"/>
      <c r="C31" s="203" t="s">
        <v>62</v>
      </c>
      <c r="D31" s="120"/>
      <c r="E31" s="203" t="s">
        <v>60</v>
      </c>
      <c r="F31" s="120"/>
      <c r="G31" s="120"/>
      <c r="H31" s="120" t="s">
        <v>64</v>
      </c>
      <c r="I31" s="120"/>
      <c r="J31" s="120"/>
      <c r="K31" s="120"/>
      <c r="L31" s="325"/>
      <c r="M31" s="326"/>
      <c r="N31" s="327"/>
      <c r="P31" s="48"/>
    </row>
    <row r="32" spans="2:17" ht="16.95" customHeight="1" x14ac:dyDescent="0.25">
      <c r="B32" s="204" t="e">
        <f>Calc!K147</f>
        <v>#DIV/0!</v>
      </c>
      <c r="C32" s="143" t="e">
        <f>Calc!L147</f>
        <v>#DIV/0!</v>
      </c>
      <c r="D32" s="120"/>
      <c r="E32" s="205" t="e">
        <f>Calc!E147</f>
        <v>#DIV/0!</v>
      </c>
      <c r="F32" s="206">
        <f>Calc!F147</f>
        <v>0</v>
      </c>
      <c r="G32" s="120"/>
      <c r="H32" s="207" t="e">
        <f>Calc!H147</f>
        <v>#DIV/0!</v>
      </c>
      <c r="I32" s="206" t="e">
        <f>Calc!I147</f>
        <v>#DIV/0!</v>
      </c>
      <c r="J32" s="120"/>
      <c r="K32" s="120"/>
      <c r="L32" s="328"/>
      <c r="M32" s="329"/>
      <c r="N32" s="330"/>
    </row>
    <row r="33" spans="2:19" ht="16.95" customHeight="1" thickBot="1" x14ac:dyDescent="0.35">
      <c r="B33" s="204" t="e">
        <f>Calc!K148</f>
        <v>#DIV/0!</v>
      </c>
      <c r="C33" s="143" t="e">
        <f>Calc!L148</f>
        <v>#DIV/0!</v>
      </c>
      <c r="D33" s="120"/>
      <c r="E33" s="205" t="e">
        <f>Calc!E148</f>
        <v>#DIV/0!</v>
      </c>
      <c r="F33" s="206" t="e">
        <f>Calc!F148</f>
        <v>#DIV/0!</v>
      </c>
      <c r="G33" s="120"/>
      <c r="H33" s="207" t="e">
        <f>Calc!H148</f>
        <v>#DIV/0!</v>
      </c>
      <c r="I33" s="206" t="e">
        <f>Calc!I148</f>
        <v>#DIV/0!</v>
      </c>
      <c r="J33" s="120"/>
      <c r="K33" s="120"/>
      <c r="L33" s="208"/>
      <c r="M33" s="209"/>
      <c r="N33" s="210"/>
      <c r="Q33" s="49"/>
    </row>
    <row r="34" spans="2:19" ht="18" customHeight="1" thickTop="1" thickBot="1" x14ac:dyDescent="0.3">
      <c r="B34" s="204" t="e">
        <f>Calc!K149</f>
        <v>#DIV/0!</v>
      </c>
      <c r="C34" s="143" t="e">
        <f>Calc!L149</f>
        <v>#DIV/0!</v>
      </c>
      <c r="D34" s="120"/>
      <c r="E34" s="205" t="e">
        <f>Calc!E149</f>
        <v>#DIV/0!</v>
      </c>
      <c r="F34" s="206" t="e">
        <f>Calc!F149</f>
        <v>#DIV/0!</v>
      </c>
      <c r="G34" s="120"/>
      <c r="H34" s="207" t="e">
        <f>Calc!H149</f>
        <v>#DIV/0!</v>
      </c>
      <c r="I34" s="206" t="e">
        <f>Calc!I149</f>
        <v>#DIV/0!</v>
      </c>
      <c r="J34" s="120"/>
      <c r="K34" s="120"/>
      <c r="L34" s="142"/>
      <c r="M34" s="211">
        <v>26</v>
      </c>
      <c r="N34" s="212"/>
    </row>
    <row r="35" spans="2:19" ht="16.95" customHeight="1" thickTop="1" thickBot="1" x14ac:dyDescent="0.3">
      <c r="B35" s="204" t="e">
        <f>Calc!K150</f>
        <v>#DIV/0!</v>
      </c>
      <c r="C35" s="143" t="e">
        <f>Calc!L150</f>
        <v>#DIV/0!</v>
      </c>
      <c r="D35" s="120"/>
      <c r="E35" s="205" t="e">
        <f>Calc!E150</f>
        <v>#DIV/0!</v>
      </c>
      <c r="F35" s="206" t="e">
        <f>Calc!F150</f>
        <v>#DIV/0!</v>
      </c>
      <c r="G35" s="120"/>
      <c r="H35" s="207" t="e">
        <f>Calc!H150</f>
        <v>#DIV/0!</v>
      </c>
      <c r="I35" s="206" t="e">
        <f>Calc!I150</f>
        <v>#DIV/0!</v>
      </c>
      <c r="J35" s="120"/>
      <c r="K35" s="120"/>
      <c r="L35" s="178"/>
      <c r="M35" s="213"/>
      <c r="N35" s="214"/>
    </row>
    <row r="36" spans="2:19" ht="16.95" customHeight="1" x14ac:dyDescent="0.3">
      <c r="B36" s="204" t="e">
        <f>Calc!K151</f>
        <v>#REF!</v>
      </c>
      <c r="C36" s="143" t="e">
        <f>Calc!L151</f>
        <v>#REF!</v>
      </c>
      <c r="D36" s="120"/>
      <c r="E36" s="205" t="e">
        <f>Calc!E151</f>
        <v>#DIV/0!</v>
      </c>
      <c r="F36" s="206" t="e">
        <f>Calc!F151</f>
        <v>#DIV/0!</v>
      </c>
      <c r="G36" s="120"/>
      <c r="H36" s="207" t="e">
        <f>Calc!H151</f>
        <v>#DIV/0!</v>
      </c>
      <c r="I36" s="206" t="e">
        <f>Calc!I151</f>
        <v>#DIV/0!</v>
      </c>
      <c r="J36" s="120"/>
      <c r="K36" s="120"/>
      <c r="L36" s="322" t="s">
        <v>129</v>
      </c>
      <c r="M36" s="323"/>
      <c r="N36" s="324"/>
      <c r="Q36" s="50"/>
      <c r="R36" s="54"/>
      <c r="S36" s="54"/>
    </row>
    <row r="37" spans="2:19" ht="16.95" customHeight="1" x14ac:dyDescent="0.3">
      <c r="B37" s="142"/>
      <c r="C37" s="120"/>
      <c r="D37" s="120"/>
      <c r="E37" s="120"/>
      <c r="F37" s="120"/>
      <c r="G37" s="120"/>
      <c r="H37" s="120"/>
      <c r="I37" s="120"/>
      <c r="J37" s="120"/>
      <c r="K37" s="120"/>
      <c r="L37" s="325"/>
      <c r="M37" s="326"/>
      <c r="N37" s="327"/>
      <c r="R37" s="49"/>
      <c r="S37" s="54"/>
    </row>
    <row r="38" spans="2:19" ht="16.95" customHeight="1" x14ac:dyDescent="0.25">
      <c r="B38" s="142"/>
      <c r="C38" s="120"/>
      <c r="D38" s="120"/>
      <c r="E38" s="120"/>
      <c r="F38" s="120"/>
      <c r="G38" s="120"/>
      <c r="H38" s="120"/>
      <c r="I38" s="120"/>
      <c r="J38" s="120"/>
      <c r="K38" s="120"/>
      <c r="L38" s="328"/>
      <c r="M38" s="329"/>
      <c r="N38" s="330"/>
    </row>
    <row r="39" spans="2:19" ht="16.95" customHeight="1" thickBot="1" x14ac:dyDescent="0.3">
      <c r="B39" s="142"/>
      <c r="C39" s="120"/>
      <c r="D39" s="120"/>
      <c r="E39" s="120"/>
      <c r="F39" s="120"/>
      <c r="G39" s="120"/>
      <c r="H39" s="120"/>
      <c r="I39" s="120"/>
      <c r="J39" s="120"/>
      <c r="K39" s="120"/>
      <c r="L39" s="142"/>
      <c r="M39" s="215"/>
      <c r="N39" s="216"/>
    </row>
    <row r="40" spans="2:19" ht="18" customHeight="1" thickTop="1" thickBot="1" x14ac:dyDescent="0.3">
      <c r="B40" s="142"/>
      <c r="C40" s="120"/>
      <c r="D40" s="120"/>
      <c r="E40" s="120"/>
      <c r="F40" s="120"/>
      <c r="G40" s="120"/>
      <c r="H40" s="120"/>
      <c r="I40" s="120"/>
      <c r="J40" s="120"/>
      <c r="K40" s="120"/>
      <c r="L40" s="142"/>
      <c r="M40" s="211">
        <v>5</v>
      </c>
      <c r="N40" s="216"/>
    </row>
    <row r="41" spans="2:19" ht="16.95" customHeight="1" thickTop="1" thickBot="1" x14ac:dyDescent="0.3">
      <c r="B41" s="142"/>
      <c r="C41" s="120"/>
      <c r="D41" s="120"/>
      <c r="E41" s="120"/>
      <c r="F41" s="120"/>
      <c r="G41" s="120"/>
      <c r="H41" s="120"/>
      <c r="I41" s="120"/>
      <c r="J41" s="120"/>
      <c r="K41" s="120"/>
      <c r="L41" s="178"/>
      <c r="M41" s="217"/>
      <c r="N41" s="218"/>
    </row>
    <row r="42" spans="2:19" ht="16.95" customHeight="1" x14ac:dyDescent="0.3">
      <c r="B42" s="142"/>
      <c r="C42" s="120"/>
      <c r="D42" s="120"/>
      <c r="E42" s="120"/>
      <c r="F42" s="120"/>
      <c r="G42" s="120"/>
      <c r="H42" s="120"/>
      <c r="I42" s="120"/>
      <c r="J42" s="120"/>
      <c r="K42" s="120"/>
      <c r="L42" s="322" t="s">
        <v>176</v>
      </c>
      <c r="M42" s="323"/>
      <c r="N42" s="324"/>
      <c r="Q42" s="50"/>
      <c r="R42" s="54"/>
      <c r="S42" s="54"/>
    </row>
    <row r="43" spans="2:19" ht="16.95" customHeight="1" x14ac:dyDescent="0.25">
      <c r="B43" s="142"/>
      <c r="C43" s="120"/>
      <c r="D43" s="120"/>
      <c r="E43" s="120"/>
      <c r="F43" s="120"/>
      <c r="G43" s="120"/>
      <c r="H43" s="120"/>
      <c r="I43" s="120"/>
      <c r="J43" s="120"/>
      <c r="K43" s="120"/>
      <c r="L43" s="325"/>
      <c r="M43" s="326"/>
      <c r="N43" s="327"/>
      <c r="R43" s="51"/>
      <c r="S43" s="54"/>
    </row>
    <row r="44" spans="2:19" ht="16.95" customHeight="1" x14ac:dyDescent="0.25">
      <c r="B44" s="142"/>
      <c r="C44" s="120"/>
      <c r="D44" s="120"/>
      <c r="E44" s="120"/>
      <c r="F44" s="120"/>
      <c r="G44" s="120"/>
      <c r="H44" s="120"/>
      <c r="I44" s="120"/>
      <c r="J44" s="120"/>
      <c r="K44" s="120"/>
      <c r="L44" s="328"/>
      <c r="M44" s="329"/>
      <c r="N44" s="330"/>
    </row>
    <row r="45" spans="2:19" ht="16.95" customHeight="1" thickBot="1" x14ac:dyDescent="0.3">
      <c r="B45" s="142"/>
      <c r="C45" s="120"/>
      <c r="D45" s="120"/>
      <c r="E45" s="120"/>
      <c r="F45" s="120"/>
      <c r="G45" s="120"/>
      <c r="H45" s="120"/>
      <c r="I45" s="120"/>
      <c r="J45" s="120"/>
      <c r="K45" s="120"/>
      <c r="L45" s="142"/>
      <c r="M45" s="219"/>
      <c r="N45" s="220"/>
    </row>
    <row r="46" spans="2:19" ht="18" customHeight="1" thickTop="1" thickBot="1" x14ac:dyDescent="0.3">
      <c r="B46" s="142"/>
      <c r="C46" s="120"/>
      <c r="D46" s="120"/>
      <c r="E46" s="120"/>
      <c r="F46" s="120"/>
      <c r="G46" s="120"/>
      <c r="H46" s="120"/>
      <c r="I46" s="120"/>
      <c r="J46" s="120"/>
      <c r="K46" s="120"/>
      <c r="L46" s="142"/>
      <c r="M46" s="231" t="e">
        <f>N25</f>
        <v>#DIV/0!</v>
      </c>
      <c r="N46" s="221"/>
    </row>
    <row r="47" spans="2:19" ht="16.95" customHeight="1" thickTop="1" x14ac:dyDescent="0.25">
      <c r="B47" s="142"/>
      <c r="C47" s="120"/>
      <c r="D47" s="120"/>
      <c r="E47" s="120"/>
      <c r="F47" s="120"/>
      <c r="G47" s="120"/>
      <c r="H47" s="120"/>
      <c r="I47" s="120"/>
      <c r="J47" s="120"/>
      <c r="K47" s="120"/>
      <c r="L47" s="142"/>
      <c r="M47" s="219"/>
      <c r="N47" s="220"/>
    </row>
    <row r="48" spans="2:19" ht="16.95" customHeight="1" thickBot="1" x14ac:dyDescent="0.3">
      <c r="B48" s="142"/>
      <c r="C48" s="120"/>
      <c r="D48" s="120"/>
      <c r="E48" s="120"/>
      <c r="F48" s="120"/>
      <c r="G48" s="120"/>
      <c r="H48" s="120"/>
      <c r="I48" s="120"/>
      <c r="J48" s="120"/>
      <c r="K48" s="120"/>
      <c r="L48" s="178"/>
      <c r="M48" s="222"/>
      <c r="N48" s="223"/>
    </row>
    <row r="49" spans="2:19" ht="16.95" customHeight="1" x14ac:dyDescent="0.3">
      <c r="B49" s="142"/>
      <c r="C49" s="120"/>
      <c r="D49" s="120"/>
      <c r="E49" s="120"/>
      <c r="F49" s="120"/>
      <c r="G49" s="120"/>
      <c r="H49" s="120"/>
      <c r="I49" s="120"/>
      <c r="J49" s="120"/>
      <c r="K49" s="120"/>
      <c r="L49" s="322" t="s">
        <v>130</v>
      </c>
      <c r="M49" s="323"/>
      <c r="N49" s="324"/>
      <c r="Q49" s="50"/>
      <c r="R49" s="54"/>
      <c r="S49" s="54"/>
    </row>
    <row r="50" spans="2:19" ht="16.95" customHeight="1" x14ac:dyDescent="0.3">
      <c r="B50" s="142"/>
      <c r="C50" s="120"/>
      <c r="D50" s="120"/>
      <c r="E50" s="120"/>
      <c r="F50" s="120"/>
      <c r="G50" s="120"/>
      <c r="H50" s="120"/>
      <c r="I50" s="120"/>
      <c r="J50" s="120"/>
      <c r="K50" s="120"/>
      <c r="L50" s="325"/>
      <c r="M50" s="326"/>
      <c r="N50" s="327"/>
      <c r="Q50" s="52"/>
      <c r="R50" s="49"/>
      <c r="S50" s="54"/>
    </row>
    <row r="51" spans="2:19" ht="16.95" customHeight="1" x14ac:dyDescent="0.25">
      <c r="B51" s="142"/>
      <c r="C51" s="120"/>
      <c r="D51" s="120"/>
      <c r="E51" s="120"/>
      <c r="F51" s="120"/>
      <c r="G51" s="120"/>
      <c r="H51" s="120"/>
      <c r="I51" s="120"/>
      <c r="J51" s="120"/>
      <c r="K51" s="120"/>
      <c r="L51" s="328"/>
      <c r="M51" s="329"/>
      <c r="N51" s="330"/>
    </row>
    <row r="52" spans="2:19" ht="16.95" customHeight="1" thickBot="1" x14ac:dyDescent="0.3">
      <c r="B52" s="142"/>
      <c r="C52" s="120"/>
      <c r="D52" s="120"/>
      <c r="E52" s="120"/>
      <c r="F52" s="120"/>
      <c r="G52" s="120"/>
      <c r="H52" s="120"/>
      <c r="I52" s="120"/>
      <c r="J52" s="120"/>
      <c r="K52" s="120"/>
      <c r="L52" s="142"/>
      <c r="M52" s="120"/>
      <c r="N52" s="98"/>
    </row>
    <row r="53" spans="2:19" ht="18" customHeight="1" thickTop="1" thickBot="1" x14ac:dyDescent="0.35">
      <c r="B53" s="142"/>
      <c r="C53" s="120"/>
      <c r="D53" s="120"/>
      <c r="E53" s="120"/>
      <c r="F53" s="120"/>
      <c r="G53" s="120"/>
      <c r="H53" s="120"/>
      <c r="I53" s="120"/>
      <c r="J53" s="120"/>
      <c r="K53" s="120"/>
      <c r="L53" s="142"/>
      <c r="M53" s="247" t="e">
        <f>M25</f>
        <v>#DIV/0!</v>
      </c>
      <c r="N53" s="92"/>
    </row>
    <row r="54" spans="2:19" ht="16.95" customHeight="1" thickTop="1" thickBot="1" x14ac:dyDescent="0.3">
      <c r="B54" s="142"/>
      <c r="C54" s="120"/>
      <c r="D54" s="120"/>
      <c r="E54" s="120"/>
      <c r="F54" s="120"/>
      <c r="G54" s="120"/>
      <c r="H54" s="120"/>
      <c r="I54" s="120"/>
      <c r="J54" s="120"/>
      <c r="K54" s="120"/>
      <c r="L54" s="142"/>
      <c r="M54" s="120"/>
      <c r="N54" s="98"/>
    </row>
    <row r="55" spans="2:19" ht="16.95" customHeight="1" thickBot="1" x14ac:dyDescent="0.3">
      <c r="B55" s="178"/>
      <c r="C55" s="179"/>
      <c r="D55" s="179"/>
      <c r="E55" s="179"/>
      <c r="F55" s="179"/>
      <c r="G55" s="179"/>
      <c r="H55" s="179"/>
      <c r="I55" s="179"/>
      <c r="J55" s="179"/>
      <c r="K55" s="98"/>
      <c r="L55" s="345" t="s">
        <v>127</v>
      </c>
      <c r="M55" s="346"/>
      <c r="N55" s="347"/>
    </row>
    <row r="56" spans="2:19" ht="16.95" customHeight="1" thickBot="1" x14ac:dyDescent="0.35">
      <c r="B56" s="224"/>
      <c r="C56" s="225"/>
      <c r="D56" s="225"/>
      <c r="E56" s="225"/>
      <c r="F56" s="225"/>
      <c r="G56" s="225"/>
      <c r="H56" s="225"/>
      <c r="I56" s="225"/>
      <c r="J56" s="225"/>
      <c r="K56" s="120"/>
      <c r="L56" s="226" t="s">
        <v>125</v>
      </c>
      <c r="M56" s="227"/>
      <c r="N56" s="228"/>
    </row>
    <row r="57" spans="2:19" ht="16.95" customHeight="1" thickTop="1" thickBot="1" x14ac:dyDescent="0.3">
      <c r="B57" s="142"/>
      <c r="C57" s="173"/>
      <c r="D57" s="173"/>
      <c r="E57" s="173"/>
      <c r="F57" s="173"/>
      <c r="G57" s="173"/>
      <c r="H57" s="173"/>
      <c r="I57" s="173"/>
      <c r="J57" s="173"/>
      <c r="K57" s="173"/>
      <c r="L57" s="351"/>
      <c r="M57" s="352"/>
      <c r="N57" s="353"/>
    </row>
    <row r="58" spans="2:19" ht="14.25" customHeight="1" x14ac:dyDescent="0.25">
      <c r="B58" s="336" t="s">
        <v>222</v>
      </c>
      <c r="C58" s="337"/>
      <c r="D58" s="337"/>
      <c r="E58" s="337"/>
      <c r="F58" s="337"/>
      <c r="G58" s="337"/>
      <c r="H58" s="337"/>
      <c r="I58" s="337"/>
      <c r="J58" s="337"/>
      <c r="K58" s="338"/>
      <c r="L58" s="142"/>
      <c r="M58" s="120"/>
      <c r="N58" s="98"/>
    </row>
    <row r="59" spans="2:19" ht="18" customHeight="1" x14ac:dyDescent="0.25">
      <c r="B59" s="339"/>
      <c r="C59" s="340"/>
      <c r="D59" s="340"/>
      <c r="E59" s="340"/>
      <c r="F59" s="340"/>
      <c r="G59" s="340"/>
      <c r="H59" s="340"/>
      <c r="I59" s="340"/>
      <c r="J59" s="340"/>
      <c r="K59" s="341"/>
      <c r="L59" s="142"/>
      <c r="M59" s="120"/>
      <c r="N59" s="98"/>
    </row>
    <row r="60" spans="2:19" ht="18" customHeight="1" x14ac:dyDescent="0.25">
      <c r="B60" s="339"/>
      <c r="C60" s="340"/>
      <c r="D60" s="340"/>
      <c r="E60" s="340"/>
      <c r="F60" s="340"/>
      <c r="G60" s="340"/>
      <c r="H60" s="340"/>
      <c r="I60" s="340"/>
      <c r="J60" s="340"/>
      <c r="K60" s="341"/>
      <c r="L60" s="142"/>
      <c r="M60" s="120"/>
      <c r="N60" s="98"/>
    </row>
    <row r="61" spans="2:19" ht="13.5" customHeight="1" x14ac:dyDescent="0.25">
      <c r="B61" s="339"/>
      <c r="C61" s="340"/>
      <c r="D61" s="340"/>
      <c r="E61" s="340"/>
      <c r="F61" s="340"/>
      <c r="G61" s="340"/>
      <c r="H61" s="340"/>
      <c r="I61" s="340"/>
      <c r="J61" s="340"/>
      <c r="K61" s="341"/>
      <c r="L61" s="142"/>
      <c r="M61" s="120"/>
      <c r="N61" s="98"/>
    </row>
    <row r="62" spans="2:19" ht="12.75" customHeight="1" x14ac:dyDescent="0.25">
      <c r="B62" s="339"/>
      <c r="C62" s="340"/>
      <c r="D62" s="340"/>
      <c r="E62" s="340"/>
      <c r="F62" s="340"/>
      <c r="G62" s="340"/>
      <c r="H62" s="340"/>
      <c r="I62" s="340"/>
      <c r="J62" s="340"/>
      <c r="K62" s="341"/>
      <c r="L62" s="142"/>
      <c r="M62" s="120"/>
      <c r="N62" s="98"/>
    </row>
    <row r="63" spans="2:19" ht="13.8" thickBot="1" x14ac:dyDescent="0.3">
      <c r="B63" s="342"/>
      <c r="C63" s="343"/>
      <c r="D63" s="343"/>
      <c r="E63" s="343"/>
      <c r="F63" s="343"/>
      <c r="G63" s="343"/>
      <c r="H63" s="343"/>
      <c r="I63" s="343"/>
      <c r="J63" s="343"/>
      <c r="K63" s="344"/>
      <c r="L63" s="178"/>
      <c r="M63" s="179"/>
      <c r="N63" s="182"/>
    </row>
  </sheetData>
  <sheetProtection selectLockedCells="1"/>
  <mergeCells count="57">
    <mergeCell ref="G19:G21"/>
    <mergeCell ref="B58:K63"/>
    <mergeCell ref="L55:N55"/>
    <mergeCell ref="N18:N21"/>
    <mergeCell ref="L19:L21"/>
    <mergeCell ref="K19:K21"/>
    <mergeCell ref="L57:N57"/>
    <mergeCell ref="C18:C21"/>
    <mergeCell ref="D18:D21"/>
    <mergeCell ref="B28:N28"/>
    <mergeCell ref="B18:B21"/>
    <mergeCell ref="F18:L18"/>
    <mergeCell ref="L49:N51"/>
    <mergeCell ref="L30:N32"/>
    <mergeCell ref="L36:N38"/>
    <mergeCell ref="F19:F21"/>
    <mergeCell ref="E18:E21"/>
    <mergeCell ref="B9:F9"/>
    <mergeCell ref="B12:F12"/>
    <mergeCell ref="B10:F10"/>
    <mergeCell ref="B11:F11"/>
    <mergeCell ref="H19:H21"/>
    <mergeCell ref="H12:M12"/>
    <mergeCell ref="M18:M21"/>
    <mergeCell ref="H15:M15"/>
    <mergeCell ref="L42:N44"/>
    <mergeCell ref="H13:M13"/>
    <mergeCell ref="I19:I21"/>
    <mergeCell ref="J19:J21"/>
    <mergeCell ref="H10:M11"/>
    <mergeCell ref="H16:M16"/>
    <mergeCell ref="B17:F17"/>
    <mergeCell ref="B16:F16"/>
    <mergeCell ref="J8:N8"/>
    <mergeCell ref="H9:N9"/>
    <mergeCell ref="N10:N11"/>
    <mergeCell ref="H14:M14"/>
    <mergeCell ref="H17:M17"/>
    <mergeCell ref="B14:F14"/>
    <mergeCell ref="B15:F15"/>
    <mergeCell ref="F8:I8"/>
    <mergeCell ref="B13:F13"/>
    <mergeCell ref="B8:E8"/>
    <mergeCell ref="B7:C7"/>
    <mergeCell ref="B2:N2"/>
    <mergeCell ref="F4:J4"/>
    <mergeCell ref="K4:L4"/>
    <mergeCell ref="M4:N4"/>
    <mergeCell ref="M5:N5"/>
    <mergeCell ref="B4:E4"/>
    <mergeCell ref="B3:E3"/>
    <mergeCell ref="G3:J3"/>
    <mergeCell ref="B5:J6"/>
    <mergeCell ref="M6:N6"/>
    <mergeCell ref="K6:L6"/>
    <mergeCell ref="F7:G7"/>
    <mergeCell ref="J7:N7"/>
  </mergeCells>
  <phoneticPr fontId="0" type="noConversion"/>
  <printOptions horizontalCentered="1"/>
  <pageMargins left="0.7" right="0.7" top="0.75" bottom="0.75" header="0.3" footer="0.3"/>
  <pageSetup paperSize="9" scale="66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B1:P73"/>
  <sheetViews>
    <sheetView showGridLines="0" view="pageBreakPreview" zoomScale="115" zoomScaleNormal="115" zoomScaleSheetLayoutView="115" workbookViewId="0">
      <selection activeCell="B5" sqref="B5:H5"/>
    </sheetView>
  </sheetViews>
  <sheetFormatPr defaultColWidth="9.109375" defaultRowHeight="13.2" x14ac:dyDescent="0.25"/>
  <cols>
    <col min="1" max="1" width="9.109375" style="53"/>
    <col min="2" max="2" width="2.77734375" style="53" customWidth="1"/>
    <col min="3" max="3" width="5.77734375" style="53" customWidth="1"/>
    <col min="4" max="4" width="7.6640625" style="53" customWidth="1"/>
    <col min="5" max="5" width="8.77734375" style="53" customWidth="1"/>
    <col min="6" max="6" width="7.44140625" style="53" customWidth="1"/>
    <col min="7" max="7" width="8.44140625" style="53" customWidth="1"/>
    <col min="8" max="8" width="9.44140625" style="53" customWidth="1"/>
    <col min="9" max="9" width="9.33203125" style="53" customWidth="1"/>
    <col min="10" max="10" width="11" style="53" customWidth="1"/>
    <col min="11" max="11" width="7.6640625" style="53" hidden="1" customWidth="1"/>
    <col min="12" max="12" width="13.44140625" style="53" customWidth="1"/>
    <col min="13" max="13" width="11.44140625" style="53" customWidth="1"/>
    <col min="14" max="14" width="9.44140625" style="53" customWidth="1"/>
    <col min="15" max="15" width="12.44140625" style="53" customWidth="1"/>
    <col min="16" max="16" width="11.44140625" style="53" customWidth="1"/>
    <col min="17" max="16384" width="9.109375" style="53"/>
  </cols>
  <sheetData>
    <row r="1" spans="2:16" ht="13.8" thickBot="1" x14ac:dyDescent="0.3"/>
    <row r="2" spans="2:16" ht="42" customHeight="1" x14ac:dyDescent="0.25">
      <c r="B2" s="366" t="s">
        <v>187</v>
      </c>
      <c r="C2" s="367"/>
      <c r="D2" s="367"/>
      <c r="E2" s="367"/>
      <c r="F2" s="367"/>
      <c r="G2" s="367"/>
      <c r="H2" s="367"/>
      <c r="I2" s="367"/>
      <c r="J2" s="367"/>
      <c r="K2" s="367"/>
      <c r="L2" s="367"/>
      <c r="M2" s="367"/>
      <c r="N2" s="367"/>
      <c r="O2" s="367"/>
      <c r="P2" s="368"/>
    </row>
    <row r="3" spans="2:16" ht="15" customHeight="1" x14ac:dyDescent="0.25">
      <c r="B3" s="369" t="str">
        <f>DENS!B3</f>
        <v>INTERESSADO:</v>
      </c>
      <c r="C3" s="370"/>
      <c r="D3" s="370"/>
      <c r="E3" s="370"/>
      <c r="F3" s="374" t="str">
        <f>DENS!F3</f>
        <v>OBRA:</v>
      </c>
      <c r="G3" s="374"/>
      <c r="H3" s="374"/>
      <c r="I3" s="374"/>
      <c r="J3" s="374"/>
      <c r="K3" s="55"/>
      <c r="L3" s="370" t="s">
        <v>168</v>
      </c>
      <c r="M3" s="370"/>
      <c r="N3" s="370"/>
      <c r="O3" s="56" t="s">
        <v>170</v>
      </c>
      <c r="P3" s="57"/>
    </row>
    <row r="4" spans="2:16" ht="15" customHeight="1" x14ac:dyDescent="0.25">
      <c r="B4" s="371" t="str">
        <f>DENS!B4</f>
        <v/>
      </c>
      <c r="C4" s="372"/>
      <c r="D4" s="372"/>
      <c r="E4" s="373"/>
      <c r="F4" s="375" t="str">
        <f>DENS!F4</f>
        <v/>
      </c>
      <c r="G4" s="375"/>
      <c r="H4" s="375"/>
      <c r="I4" s="375"/>
      <c r="J4" s="376"/>
      <c r="K4" s="100"/>
      <c r="L4" s="439" t="str">
        <f>DENS!K4</f>
        <v/>
      </c>
      <c r="M4" s="439"/>
      <c r="N4" s="439"/>
      <c r="O4" s="435" t="s">
        <v>223</v>
      </c>
      <c r="P4" s="436"/>
    </row>
    <row r="5" spans="2:16" ht="15" customHeight="1" x14ac:dyDescent="0.25">
      <c r="B5" s="369" t="e">
        <f>DENS!#REF!</f>
        <v>#REF!</v>
      </c>
      <c r="C5" s="370"/>
      <c r="D5" s="370"/>
      <c r="E5" s="370"/>
      <c r="F5" s="370"/>
      <c r="G5" s="370"/>
      <c r="H5" s="370"/>
      <c r="I5" s="58" t="s">
        <v>12</v>
      </c>
      <c r="J5" s="101"/>
      <c r="K5" s="59" t="s">
        <v>12</v>
      </c>
      <c r="L5" s="60"/>
      <c r="M5" s="380" t="s">
        <v>196</v>
      </c>
      <c r="N5" s="380"/>
      <c r="O5" s="370" t="s">
        <v>11</v>
      </c>
      <c r="P5" s="437"/>
    </row>
    <row r="6" spans="2:16" ht="15" customHeight="1" x14ac:dyDescent="0.25">
      <c r="B6" s="438">
        <f>DENS!B6</f>
        <v>0</v>
      </c>
      <c r="C6" s="439"/>
      <c r="D6" s="439"/>
      <c r="E6" s="439"/>
      <c r="F6" s="439"/>
      <c r="G6" s="439"/>
      <c r="H6" s="439"/>
      <c r="I6" s="443">
        <f>DENS!H6</f>
        <v>0</v>
      </c>
      <c r="J6" s="441"/>
      <c r="K6" s="441"/>
      <c r="L6" s="442"/>
      <c r="M6" s="281" t="str">
        <f>DENS!K6</f>
        <v/>
      </c>
      <c r="N6" s="261"/>
      <c r="O6" s="279">
        <f>DENS!M6</f>
        <v>0</v>
      </c>
      <c r="P6" s="280"/>
    </row>
    <row r="7" spans="2:16" ht="15" customHeight="1" x14ac:dyDescent="0.25">
      <c r="B7" s="255" t="s">
        <v>183</v>
      </c>
      <c r="C7" s="256"/>
      <c r="D7" s="256"/>
      <c r="E7" s="256"/>
      <c r="F7" s="61"/>
      <c r="G7" s="102"/>
      <c r="H7" s="377" t="s">
        <v>184</v>
      </c>
      <c r="I7" s="256"/>
      <c r="J7" s="102"/>
      <c r="K7" s="62"/>
      <c r="L7" s="58" t="s">
        <v>188</v>
      </c>
      <c r="M7" s="103"/>
      <c r="N7" s="101"/>
      <c r="O7" s="59"/>
      <c r="P7" s="63"/>
    </row>
    <row r="8" spans="2:16" ht="15" customHeight="1" x14ac:dyDescent="0.25">
      <c r="B8" s="440" t="str">
        <f>DENS!$B$8</f>
        <v/>
      </c>
      <c r="C8" s="441"/>
      <c r="D8" s="441"/>
      <c r="E8" s="441"/>
      <c r="F8" s="441"/>
      <c r="G8" s="442"/>
      <c r="H8" s="262" t="str">
        <f>DENS!F8</f>
        <v/>
      </c>
      <c r="I8" s="260"/>
      <c r="J8" s="261"/>
      <c r="K8" s="104"/>
      <c r="L8" s="446" t="str">
        <f>DENS!J8</f>
        <v/>
      </c>
      <c r="M8" s="447"/>
      <c r="N8" s="447"/>
      <c r="O8" s="447"/>
      <c r="P8" s="448"/>
    </row>
    <row r="9" spans="2:16" ht="16.5" customHeight="1" thickBot="1" x14ac:dyDescent="0.3">
      <c r="B9" s="381" t="s">
        <v>73</v>
      </c>
      <c r="C9" s="382"/>
      <c r="D9" s="382"/>
      <c r="E9" s="382"/>
      <c r="F9" s="382"/>
      <c r="G9" s="382"/>
      <c r="H9" s="382"/>
      <c r="I9" s="382"/>
      <c r="J9" s="382"/>
      <c r="K9" s="382"/>
      <c r="L9" s="382"/>
      <c r="M9" s="382"/>
      <c r="N9" s="382"/>
      <c r="O9" s="382"/>
      <c r="P9" s="383"/>
    </row>
    <row r="10" spans="2:16" ht="18" customHeight="1" thickBot="1" x14ac:dyDescent="0.3">
      <c r="B10" s="384" t="s">
        <v>74</v>
      </c>
      <c r="C10" s="385"/>
      <c r="D10" s="385"/>
      <c r="E10" s="385"/>
      <c r="F10" s="385"/>
      <c r="G10" s="385"/>
      <c r="H10" s="385"/>
      <c r="I10" s="386"/>
      <c r="J10" s="405" t="s">
        <v>75</v>
      </c>
      <c r="K10" s="385"/>
      <c r="L10" s="385"/>
      <c r="M10" s="385"/>
      <c r="N10" s="385"/>
      <c r="O10" s="251" t="s">
        <v>229</v>
      </c>
      <c r="P10" s="64" t="s">
        <v>76</v>
      </c>
    </row>
    <row r="11" spans="2:16" ht="15.6" x14ac:dyDescent="0.25">
      <c r="B11" s="414" t="s">
        <v>197</v>
      </c>
      <c r="C11" s="415"/>
      <c r="D11" s="415"/>
      <c r="E11" s="415"/>
      <c r="F11" s="415"/>
      <c r="G11" s="416"/>
      <c r="H11" s="429" t="s">
        <v>226</v>
      </c>
      <c r="I11" s="430"/>
      <c r="J11" s="406" t="s">
        <v>120</v>
      </c>
      <c r="K11" s="407"/>
      <c r="L11" s="407"/>
      <c r="M11" s="407"/>
      <c r="N11" s="407"/>
      <c r="O11" s="65" t="s">
        <v>177</v>
      </c>
      <c r="P11" s="66" t="s">
        <v>177</v>
      </c>
    </row>
    <row r="12" spans="2:16" x14ac:dyDescent="0.25">
      <c r="B12" s="311" t="s">
        <v>77</v>
      </c>
      <c r="C12" s="312"/>
      <c r="D12" s="312"/>
      <c r="E12" s="312"/>
      <c r="F12" s="105"/>
      <c r="G12" s="105"/>
      <c r="H12" s="433">
        <v>5436</v>
      </c>
      <c r="I12" s="434"/>
      <c r="J12" s="287" t="s">
        <v>78</v>
      </c>
      <c r="K12" s="288"/>
      <c r="L12" s="288"/>
      <c r="M12" s="288"/>
      <c r="N12" s="288"/>
      <c r="O12" s="106"/>
      <c r="P12" s="107"/>
    </row>
    <row r="13" spans="2:16" x14ac:dyDescent="0.25">
      <c r="B13" s="431" t="s">
        <v>79</v>
      </c>
      <c r="C13" s="432"/>
      <c r="D13" s="432"/>
      <c r="E13" s="432"/>
      <c r="F13" s="108"/>
      <c r="G13" s="108"/>
      <c r="H13" s="427">
        <v>3210</v>
      </c>
      <c r="I13" s="428"/>
      <c r="J13" s="408" t="s">
        <v>80</v>
      </c>
      <c r="K13" s="294"/>
      <c r="L13" s="294"/>
      <c r="M13" s="294"/>
      <c r="N13" s="294"/>
      <c r="O13" s="109"/>
      <c r="P13" s="110"/>
    </row>
    <row r="14" spans="2:16" x14ac:dyDescent="0.25">
      <c r="B14" s="311" t="s">
        <v>81</v>
      </c>
      <c r="C14" s="312"/>
      <c r="D14" s="312"/>
      <c r="E14" s="312"/>
      <c r="F14" s="105"/>
      <c r="G14" s="105"/>
      <c r="H14" s="411" t="s">
        <v>227</v>
      </c>
      <c r="I14" s="412"/>
      <c r="J14" s="287" t="s">
        <v>82</v>
      </c>
      <c r="K14" s="288"/>
      <c r="L14" s="288"/>
      <c r="M14" s="288"/>
      <c r="N14" s="288"/>
      <c r="O14" s="106"/>
      <c r="P14" s="107"/>
    </row>
    <row r="15" spans="2:16" ht="12.75" customHeight="1" x14ac:dyDescent="0.25">
      <c r="B15" s="311" t="s">
        <v>83</v>
      </c>
      <c r="C15" s="312"/>
      <c r="D15" s="312"/>
      <c r="E15" s="312"/>
      <c r="F15" s="105"/>
      <c r="G15" s="105"/>
      <c r="H15" s="411" t="s">
        <v>225</v>
      </c>
      <c r="I15" s="412"/>
      <c r="J15" s="287" t="s">
        <v>84</v>
      </c>
      <c r="K15" s="288"/>
      <c r="L15" s="288"/>
      <c r="M15" s="288"/>
      <c r="N15" s="288"/>
      <c r="O15" s="67">
        <f>O12-O13</f>
        <v>0</v>
      </c>
      <c r="P15" s="68">
        <f>P12-P13</f>
        <v>0</v>
      </c>
    </row>
    <row r="16" spans="2:16" ht="12.75" customHeight="1" x14ac:dyDescent="0.25">
      <c r="B16" s="311" t="s">
        <v>85</v>
      </c>
      <c r="C16" s="312"/>
      <c r="D16" s="312"/>
      <c r="E16" s="312"/>
      <c r="F16" s="105"/>
      <c r="G16" s="105"/>
      <c r="H16" s="397">
        <v>4536</v>
      </c>
      <c r="I16" s="398"/>
      <c r="J16" s="287" t="s">
        <v>86</v>
      </c>
      <c r="K16" s="288"/>
      <c r="L16" s="288"/>
      <c r="M16" s="288"/>
      <c r="N16" s="288"/>
      <c r="O16" s="67">
        <f>O13-O14</f>
        <v>0</v>
      </c>
      <c r="P16" s="67">
        <f>P13-P14</f>
        <v>0</v>
      </c>
    </row>
    <row r="17" spans="2:16" ht="12.75" customHeight="1" x14ac:dyDescent="0.25">
      <c r="B17" s="311" t="s">
        <v>87</v>
      </c>
      <c r="C17" s="312"/>
      <c r="D17" s="312"/>
      <c r="E17" s="312"/>
      <c r="F17" s="105"/>
      <c r="G17" s="105"/>
      <c r="H17" s="397" t="s">
        <v>169</v>
      </c>
      <c r="I17" s="398"/>
      <c r="J17" s="287" t="s">
        <v>88</v>
      </c>
      <c r="K17" s="288"/>
      <c r="L17" s="288"/>
      <c r="M17" s="288"/>
      <c r="N17" s="288"/>
      <c r="O17" s="67" t="e">
        <f>O15/O16*100</f>
        <v>#DIV/0!</v>
      </c>
      <c r="P17" s="67" t="e">
        <f>P15/P16*100</f>
        <v>#DIV/0!</v>
      </c>
    </row>
    <row r="18" spans="2:16" ht="12.75" customHeight="1" thickBot="1" x14ac:dyDescent="0.3">
      <c r="B18" s="399" t="s">
        <v>89</v>
      </c>
      <c r="C18" s="400"/>
      <c r="D18" s="400"/>
      <c r="E18" s="400"/>
      <c r="F18" s="111"/>
      <c r="G18" s="111"/>
      <c r="H18" s="490">
        <v>114</v>
      </c>
      <c r="I18" s="491"/>
      <c r="J18" s="493" t="s">
        <v>90</v>
      </c>
      <c r="K18" s="291"/>
      <c r="L18" s="291"/>
      <c r="M18" s="291"/>
      <c r="N18" s="291"/>
      <c r="O18" s="112" t="e">
        <f>O17</f>
        <v>#DIV/0!</v>
      </c>
      <c r="P18" s="252" t="e">
        <f>P17</f>
        <v>#DIV/0!</v>
      </c>
    </row>
    <row r="19" spans="2:16" ht="24.75" customHeight="1" thickTop="1" x14ac:dyDescent="0.25">
      <c r="B19" s="489" t="s">
        <v>91</v>
      </c>
      <c r="C19" s="424"/>
      <c r="D19" s="424"/>
      <c r="E19" s="424"/>
      <c r="F19" s="424"/>
      <c r="G19" s="425"/>
      <c r="H19" s="423" t="s">
        <v>92</v>
      </c>
      <c r="I19" s="424"/>
      <c r="J19" s="424"/>
      <c r="K19" s="424"/>
      <c r="L19" s="424"/>
      <c r="M19" s="424"/>
      <c r="N19" s="425"/>
      <c r="O19" s="481" t="s">
        <v>171</v>
      </c>
      <c r="P19" s="389" t="s">
        <v>126</v>
      </c>
    </row>
    <row r="20" spans="2:16" ht="13.8" x14ac:dyDescent="0.25">
      <c r="B20" s="113" t="s">
        <v>172</v>
      </c>
      <c r="C20" s="105"/>
      <c r="D20" s="114"/>
      <c r="E20" s="69"/>
      <c r="F20" s="483" t="e">
        <f>DENS!M46</f>
        <v>#DIV/0!</v>
      </c>
      <c r="G20" s="484"/>
      <c r="H20" s="69" t="s">
        <v>189</v>
      </c>
      <c r="I20" s="70"/>
      <c r="J20" s="115"/>
      <c r="K20" s="115"/>
      <c r="L20" s="115"/>
      <c r="M20" s="417"/>
      <c r="N20" s="418"/>
      <c r="O20" s="482"/>
      <c r="P20" s="390"/>
    </row>
    <row r="21" spans="2:16" ht="13.8" x14ac:dyDescent="0.25">
      <c r="B21" s="113" t="s">
        <v>93</v>
      </c>
      <c r="C21" s="105"/>
      <c r="D21" s="105"/>
      <c r="E21" s="114"/>
      <c r="F21" s="485"/>
      <c r="G21" s="486"/>
      <c r="H21" s="69" t="s">
        <v>173</v>
      </c>
      <c r="I21" s="70"/>
      <c r="J21" s="115"/>
      <c r="K21" s="115"/>
      <c r="L21" s="115"/>
      <c r="M21" s="417" t="e">
        <f>M20/(1+(O18/100))</f>
        <v>#DIV/0!</v>
      </c>
      <c r="N21" s="418"/>
      <c r="O21" s="237" t="e">
        <f>IF(OR(M21="",F23=""),"",M21*F23/100)</f>
        <v>#DIV/0!</v>
      </c>
      <c r="P21" s="68" t="s">
        <v>174</v>
      </c>
    </row>
    <row r="22" spans="2:16" ht="13.8" x14ac:dyDescent="0.25">
      <c r="B22" s="113" t="s">
        <v>94</v>
      </c>
      <c r="C22" s="105"/>
      <c r="D22" s="114"/>
      <c r="E22" s="69"/>
      <c r="F22" s="485" t="e">
        <f>O17</f>
        <v>#DIV/0!</v>
      </c>
      <c r="G22" s="486"/>
      <c r="H22" s="69" t="s">
        <v>175</v>
      </c>
      <c r="I22" s="70"/>
      <c r="J22" s="115"/>
      <c r="K22" s="115"/>
      <c r="L22" s="115"/>
      <c r="M22" s="419" t="e">
        <f>(M20-M21)*100</f>
        <v>#DIV/0!</v>
      </c>
      <c r="N22" s="420"/>
      <c r="O22" s="238" t="e">
        <f>IF(M22="","",M22*2%)</f>
        <v>#DIV/0!</v>
      </c>
      <c r="P22" s="391">
        <v>8.3900000000000002E-2</v>
      </c>
    </row>
    <row r="23" spans="2:16" ht="13.8" thickBot="1" x14ac:dyDescent="0.3">
      <c r="B23" s="116" t="s">
        <v>95</v>
      </c>
      <c r="C23" s="117"/>
      <c r="D23" s="118"/>
      <c r="E23" s="119"/>
      <c r="F23" s="487" t="e">
        <f>F21-F22</f>
        <v>#DIV/0!</v>
      </c>
      <c r="G23" s="488"/>
      <c r="H23" s="71" t="s">
        <v>190</v>
      </c>
      <c r="I23" s="120"/>
      <c r="J23" s="253" t="e">
        <f>M21*(F23)*10</f>
        <v>#DIV/0!</v>
      </c>
      <c r="K23" s="111"/>
      <c r="L23" s="111"/>
      <c r="M23" s="72"/>
      <c r="N23" s="73"/>
      <c r="O23" s="239" t="e">
        <f>IF(OR(O21="",O22=""),"",O21+O22)</f>
        <v>#DIV/0!</v>
      </c>
      <c r="P23" s="392"/>
    </row>
    <row r="24" spans="2:16" ht="18.75" customHeight="1" thickTop="1" thickBot="1" x14ac:dyDescent="0.3">
      <c r="B24" s="393" t="s">
        <v>96</v>
      </c>
      <c r="C24" s="394"/>
      <c r="D24" s="394"/>
      <c r="E24" s="395"/>
      <c r="F24" s="395"/>
      <c r="G24" s="395"/>
      <c r="H24" s="395"/>
      <c r="I24" s="395"/>
      <c r="J24" s="395"/>
      <c r="K24" s="396"/>
      <c r="L24" s="426" t="s">
        <v>97</v>
      </c>
      <c r="M24" s="394"/>
      <c r="N24" s="394"/>
      <c r="O24" s="394"/>
      <c r="P24" s="121">
        <f>J34</f>
        <v>0</v>
      </c>
    </row>
    <row r="25" spans="2:16" ht="16.5" customHeight="1" x14ac:dyDescent="0.25">
      <c r="B25" s="474" t="s">
        <v>98</v>
      </c>
      <c r="C25" s="475"/>
      <c r="D25" s="478" t="s">
        <v>99</v>
      </c>
      <c r="E25" s="416"/>
      <c r="F25" s="479" t="s">
        <v>100</v>
      </c>
      <c r="G25" s="478" t="s">
        <v>101</v>
      </c>
      <c r="H25" s="415"/>
      <c r="I25" s="415"/>
      <c r="J25" s="416"/>
      <c r="K25" s="122"/>
      <c r="L25" s="478" t="s">
        <v>102</v>
      </c>
      <c r="M25" s="416"/>
      <c r="N25" s="479" t="s">
        <v>192</v>
      </c>
      <c r="O25" s="479" t="s">
        <v>193</v>
      </c>
      <c r="P25" s="444" t="s">
        <v>103</v>
      </c>
    </row>
    <row r="26" spans="2:16" ht="15.75" customHeight="1" thickBot="1" x14ac:dyDescent="0.3">
      <c r="B26" s="476"/>
      <c r="C26" s="477"/>
      <c r="D26" s="123" t="s">
        <v>9</v>
      </c>
      <c r="E26" s="74" t="s">
        <v>191</v>
      </c>
      <c r="F26" s="480"/>
      <c r="G26" s="124" t="s">
        <v>104</v>
      </c>
      <c r="H26" s="125" t="s">
        <v>105</v>
      </c>
      <c r="I26" s="126" t="s">
        <v>106</v>
      </c>
      <c r="J26" s="126" t="s">
        <v>3</v>
      </c>
      <c r="K26" s="123"/>
      <c r="L26" s="126" t="s">
        <v>107</v>
      </c>
      <c r="M26" s="127" t="s">
        <v>108</v>
      </c>
      <c r="N26" s="480"/>
      <c r="O26" s="480"/>
      <c r="P26" s="445"/>
    </row>
    <row r="27" spans="2:16" ht="13.8" x14ac:dyDescent="0.25">
      <c r="B27" s="409" t="s">
        <v>109</v>
      </c>
      <c r="C27" s="410"/>
      <c r="D27" s="75">
        <v>2.5000000000000001E-2</v>
      </c>
      <c r="E27" s="76">
        <v>0.63</v>
      </c>
      <c r="F27" s="248"/>
      <c r="G27" s="249"/>
      <c r="H27" s="77"/>
      <c r="I27" s="128"/>
      <c r="J27" s="77"/>
      <c r="K27" s="129" t="s">
        <v>177</v>
      </c>
      <c r="L27" s="472">
        <v>46170</v>
      </c>
      <c r="M27" s="387" t="s">
        <v>178</v>
      </c>
      <c r="N27" s="401">
        <v>0</v>
      </c>
      <c r="O27" s="387"/>
      <c r="P27" s="413" t="str">
        <f>IF(OR(O27="",$H$18=""),"",(O27/$H$18)*100)</f>
        <v/>
      </c>
    </row>
    <row r="28" spans="2:16" ht="13.8" x14ac:dyDescent="0.25">
      <c r="B28" s="421"/>
      <c r="C28" s="422"/>
      <c r="D28" s="78">
        <v>0.05</v>
      </c>
      <c r="E28" s="78">
        <v>1.27</v>
      </c>
      <c r="F28" s="250"/>
      <c r="G28" s="131"/>
      <c r="H28" s="79"/>
      <c r="I28" s="130"/>
      <c r="J28" s="131"/>
      <c r="K28" s="132" t="s">
        <v>177</v>
      </c>
      <c r="L28" s="473"/>
      <c r="M28" s="388"/>
      <c r="N28" s="402"/>
      <c r="O28" s="388"/>
      <c r="P28" s="403"/>
    </row>
    <row r="29" spans="2:16" ht="13.8" x14ac:dyDescent="0.25">
      <c r="B29" s="421">
        <v>2</v>
      </c>
      <c r="C29" s="422"/>
      <c r="D29" s="78">
        <v>0.1</v>
      </c>
      <c r="E29" s="78">
        <v>2.54</v>
      </c>
      <c r="F29" s="250"/>
      <c r="G29" s="131"/>
      <c r="H29" s="79"/>
      <c r="I29" s="70">
        <v>70</v>
      </c>
      <c r="J29" s="79"/>
      <c r="K29" s="132"/>
      <c r="L29" s="473">
        <f>L27+1</f>
        <v>46171</v>
      </c>
      <c r="M29" s="404" t="s">
        <v>179</v>
      </c>
      <c r="N29" s="402"/>
      <c r="O29" s="404"/>
      <c r="P29" s="403"/>
    </row>
    <row r="30" spans="2:16" ht="13.8" x14ac:dyDescent="0.25">
      <c r="B30" s="421">
        <v>4</v>
      </c>
      <c r="C30" s="422"/>
      <c r="D30" s="78">
        <v>0.2</v>
      </c>
      <c r="E30" s="78">
        <v>5.08</v>
      </c>
      <c r="F30" s="250"/>
      <c r="G30" s="131"/>
      <c r="H30" s="79"/>
      <c r="I30" s="70">
        <v>105</v>
      </c>
      <c r="J30" s="79"/>
      <c r="K30" s="132"/>
      <c r="L30" s="473"/>
      <c r="M30" s="388"/>
      <c r="N30" s="402"/>
      <c r="O30" s="388"/>
      <c r="P30" s="403"/>
    </row>
    <row r="31" spans="2:16" ht="13.8" x14ac:dyDescent="0.25">
      <c r="B31" s="421">
        <v>6</v>
      </c>
      <c r="C31" s="422"/>
      <c r="D31" s="78">
        <v>0.3</v>
      </c>
      <c r="E31" s="78">
        <v>7.62</v>
      </c>
      <c r="F31" s="250"/>
      <c r="G31" s="131"/>
      <c r="H31" s="79"/>
      <c r="I31" s="70">
        <v>133</v>
      </c>
      <c r="J31" s="131"/>
      <c r="K31" s="132" t="s">
        <v>177</v>
      </c>
      <c r="L31" s="473">
        <f>L29+1</f>
        <v>46172</v>
      </c>
      <c r="M31" s="404" t="s">
        <v>180</v>
      </c>
      <c r="N31" s="402"/>
      <c r="O31" s="404"/>
      <c r="P31" s="403"/>
    </row>
    <row r="32" spans="2:16" ht="13.8" x14ac:dyDescent="0.25">
      <c r="B32" s="421">
        <v>8</v>
      </c>
      <c r="C32" s="422"/>
      <c r="D32" s="78">
        <v>0.4</v>
      </c>
      <c r="E32" s="78">
        <v>10.16</v>
      </c>
      <c r="F32" s="80"/>
      <c r="G32" s="131"/>
      <c r="H32" s="79"/>
      <c r="I32" s="70">
        <v>161</v>
      </c>
      <c r="J32" s="131"/>
      <c r="K32" s="132" t="s">
        <v>177</v>
      </c>
      <c r="L32" s="473"/>
      <c r="M32" s="388"/>
      <c r="N32" s="402"/>
      <c r="O32" s="388"/>
      <c r="P32" s="403"/>
    </row>
    <row r="33" spans="2:16" ht="13.8" x14ac:dyDescent="0.25">
      <c r="B33" s="421">
        <v>10</v>
      </c>
      <c r="C33" s="422"/>
      <c r="D33" s="78">
        <v>0.5</v>
      </c>
      <c r="E33" s="81">
        <v>12.7</v>
      </c>
      <c r="F33" s="82"/>
      <c r="G33" s="79" t="str">
        <f t="shared" ref="G33" si="0">IF(F33="","",F33*$P$22)</f>
        <v/>
      </c>
      <c r="H33" s="79"/>
      <c r="I33" s="70"/>
      <c r="J33" s="131"/>
      <c r="K33" s="133" t="s">
        <v>177</v>
      </c>
      <c r="L33" s="473">
        <f>L31+1</f>
        <v>46173</v>
      </c>
      <c r="M33" s="404" t="s">
        <v>181</v>
      </c>
      <c r="N33" s="402"/>
      <c r="O33" s="404"/>
      <c r="P33" s="464">
        <f>N33</f>
        <v>0</v>
      </c>
    </row>
    <row r="34" spans="2:16" ht="14.4" thickBot="1" x14ac:dyDescent="0.35">
      <c r="B34" s="134"/>
      <c r="C34" s="135"/>
      <c r="D34" s="135"/>
      <c r="E34" s="83" t="s">
        <v>131</v>
      </c>
      <c r="F34" s="136">
        <f>MAX(J29:J30)/100</f>
        <v>0</v>
      </c>
      <c r="G34" s="84"/>
      <c r="H34" s="85" t="s">
        <v>110</v>
      </c>
      <c r="I34" s="137"/>
      <c r="J34" s="138">
        <f>IF(P33="","",P33/100)</f>
        <v>0</v>
      </c>
      <c r="K34" s="139"/>
      <c r="L34" s="492"/>
      <c r="M34" s="471"/>
      <c r="N34" s="402"/>
      <c r="O34" s="471"/>
      <c r="P34" s="465"/>
    </row>
    <row r="35" spans="2:16" ht="16.95" customHeight="1" thickTop="1" x14ac:dyDescent="0.25">
      <c r="B35" s="140"/>
      <c r="C35" s="141"/>
      <c r="D35" s="141"/>
      <c r="E35" s="120"/>
      <c r="F35" s="120"/>
      <c r="G35" s="120"/>
      <c r="H35" s="120"/>
      <c r="I35" s="120"/>
      <c r="J35" s="120"/>
      <c r="K35" s="120"/>
      <c r="L35" s="120"/>
      <c r="M35" s="466" t="s">
        <v>111</v>
      </c>
      <c r="N35" s="467"/>
      <c r="O35" s="467"/>
      <c r="P35" s="468"/>
    </row>
    <row r="36" spans="2:16" x14ac:dyDescent="0.25">
      <c r="B36" s="142"/>
      <c r="C36" s="120"/>
      <c r="D36" s="120"/>
      <c r="E36" s="120"/>
      <c r="F36" s="120"/>
      <c r="G36" s="120">
        <v>0</v>
      </c>
      <c r="H36" s="120">
        <v>0</v>
      </c>
      <c r="I36" s="120"/>
      <c r="J36" s="120"/>
      <c r="K36" s="120"/>
      <c r="L36" s="120"/>
      <c r="M36" s="469" t="s">
        <v>112</v>
      </c>
      <c r="N36" s="470"/>
      <c r="O36" s="470"/>
      <c r="P36" s="86"/>
    </row>
    <row r="37" spans="2:16" x14ac:dyDescent="0.25">
      <c r="B37" s="142"/>
      <c r="C37" s="120"/>
      <c r="D37" s="120"/>
      <c r="E37" s="120"/>
      <c r="F37" s="120"/>
      <c r="G37" s="143">
        <f t="shared" ref="G37:G42" si="1">D27</f>
        <v>2.5000000000000001E-2</v>
      </c>
      <c r="H37" s="144">
        <f t="shared" ref="H37:H42" si="2">G27</f>
        <v>0</v>
      </c>
      <c r="I37" s="120"/>
      <c r="J37" s="120"/>
      <c r="K37" s="120"/>
      <c r="L37" s="120"/>
      <c r="M37" s="450"/>
      <c r="N37" s="288"/>
      <c r="O37" s="288"/>
      <c r="P37" s="145"/>
    </row>
    <row r="38" spans="2:16" x14ac:dyDescent="0.25">
      <c r="B38" s="142"/>
      <c r="C38" s="120"/>
      <c r="D38" s="120"/>
      <c r="E38" s="120"/>
      <c r="F38" s="120"/>
      <c r="G38" s="143">
        <f t="shared" si="1"/>
        <v>0.05</v>
      </c>
      <c r="H38" s="144">
        <f t="shared" si="2"/>
        <v>0</v>
      </c>
      <c r="I38" s="120"/>
      <c r="J38" s="120"/>
      <c r="K38" s="120"/>
      <c r="L38" s="120"/>
      <c r="M38" s="469" t="s">
        <v>113</v>
      </c>
      <c r="N38" s="470"/>
      <c r="O38" s="470"/>
      <c r="P38" s="145"/>
    </row>
    <row r="39" spans="2:16" x14ac:dyDescent="0.25">
      <c r="B39" s="142"/>
      <c r="C39" s="120"/>
      <c r="D39" s="120"/>
      <c r="E39" s="120"/>
      <c r="F39" s="120"/>
      <c r="G39" s="143">
        <f t="shared" si="1"/>
        <v>0.1</v>
      </c>
      <c r="H39" s="144">
        <f t="shared" si="2"/>
        <v>0</v>
      </c>
      <c r="I39" s="120"/>
      <c r="J39" s="120"/>
      <c r="K39" s="120"/>
      <c r="L39" s="120"/>
      <c r="M39" s="450"/>
      <c r="N39" s="288"/>
      <c r="O39" s="288"/>
    </row>
    <row r="40" spans="2:16" x14ac:dyDescent="0.25">
      <c r="B40" s="142"/>
      <c r="C40" s="120"/>
      <c r="D40" s="120"/>
      <c r="E40" s="120"/>
      <c r="F40" s="120"/>
      <c r="G40" s="143">
        <f t="shared" si="1"/>
        <v>0.2</v>
      </c>
      <c r="H40" s="144">
        <f t="shared" si="2"/>
        <v>0</v>
      </c>
      <c r="I40" s="120"/>
      <c r="J40" s="120"/>
      <c r="K40" s="120"/>
      <c r="L40" s="120"/>
      <c r="M40" s="450" t="s">
        <v>194</v>
      </c>
      <c r="N40" s="288"/>
      <c r="O40" s="288"/>
      <c r="P40" s="145"/>
    </row>
    <row r="41" spans="2:16" x14ac:dyDescent="0.25">
      <c r="B41" s="142"/>
      <c r="C41" s="120"/>
      <c r="D41" s="120"/>
      <c r="E41" s="120"/>
      <c r="F41" s="120"/>
      <c r="G41" s="143"/>
      <c r="H41" s="144">
        <f t="shared" si="2"/>
        <v>0</v>
      </c>
      <c r="I41" s="120"/>
      <c r="J41" s="120"/>
      <c r="K41" s="120"/>
      <c r="L41" s="120"/>
      <c r="M41" s="450"/>
      <c r="N41" s="288"/>
      <c r="O41" s="288"/>
      <c r="P41" s="145"/>
    </row>
    <row r="42" spans="2:16" x14ac:dyDescent="0.25">
      <c r="B42" s="142"/>
      <c r="C42" s="120"/>
      <c r="D42" s="120"/>
      <c r="E42" s="120"/>
      <c r="F42" s="120"/>
      <c r="G42" s="143">
        <f t="shared" si="1"/>
        <v>0.4</v>
      </c>
      <c r="H42" s="144">
        <f t="shared" si="2"/>
        <v>0</v>
      </c>
      <c r="I42" s="120"/>
      <c r="J42" s="120"/>
      <c r="K42" s="120"/>
      <c r="L42" s="120"/>
      <c r="M42" s="450" t="s">
        <v>195</v>
      </c>
      <c r="N42" s="288"/>
      <c r="O42" s="288"/>
      <c r="P42" s="145"/>
    </row>
    <row r="43" spans="2:16" ht="13.8" thickBot="1" x14ac:dyDescent="0.3">
      <c r="B43" s="142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454"/>
      <c r="N43" s="291"/>
      <c r="O43" s="291"/>
      <c r="P43" s="146"/>
    </row>
    <row r="44" spans="2:16" ht="13.8" thickTop="1" x14ac:dyDescent="0.25">
      <c r="B44" s="142"/>
      <c r="C44" s="120"/>
      <c r="D44" s="120"/>
      <c r="E44" s="120"/>
      <c r="F44" s="120"/>
      <c r="G44" s="120"/>
      <c r="H44" s="120"/>
      <c r="I44" s="120"/>
      <c r="J44" s="120"/>
      <c r="K44" s="120"/>
      <c r="L44" s="120"/>
      <c r="M44" s="451" t="s">
        <v>114</v>
      </c>
      <c r="N44" s="452"/>
      <c r="O44" s="452"/>
      <c r="P44" s="453"/>
    </row>
    <row r="45" spans="2:16" x14ac:dyDescent="0.25">
      <c r="B45" s="142"/>
      <c r="C45" s="120"/>
      <c r="D45" s="120"/>
      <c r="E45" s="120"/>
      <c r="F45" s="120"/>
      <c r="G45" s="120"/>
      <c r="H45" s="120"/>
      <c r="I45" s="120"/>
      <c r="J45" s="120"/>
      <c r="K45" s="120"/>
      <c r="L45" s="120"/>
      <c r="M45" s="450" t="s">
        <v>121</v>
      </c>
      <c r="N45" s="288"/>
      <c r="O45" s="288"/>
      <c r="P45" s="235"/>
    </row>
    <row r="46" spans="2:16" x14ac:dyDescent="0.25">
      <c r="B46" s="142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47"/>
      <c r="N46" s="148"/>
      <c r="O46" s="148"/>
      <c r="P46" s="145"/>
    </row>
    <row r="47" spans="2:16" x14ac:dyDescent="0.25">
      <c r="B47" s="142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49" t="s">
        <v>122</v>
      </c>
      <c r="N47" s="150"/>
      <c r="O47" s="150"/>
      <c r="P47" s="236"/>
    </row>
    <row r="48" spans="2:16" x14ac:dyDescent="0.25">
      <c r="B48" s="142"/>
      <c r="C48" s="120"/>
      <c r="D48" s="120"/>
      <c r="E48" s="120"/>
      <c r="F48" s="120"/>
      <c r="G48" s="120"/>
      <c r="H48" s="120"/>
      <c r="I48" s="120"/>
      <c r="J48" s="120"/>
      <c r="K48" s="120"/>
      <c r="L48" s="120"/>
      <c r="M48" s="149"/>
      <c r="N48" s="150"/>
      <c r="O48" s="150"/>
      <c r="P48" s="145"/>
    </row>
    <row r="49" spans="2:16" x14ac:dyDescent="0.25">
      <c r="B49" s="142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450" t="s">
        <v>123</v>
      </c>
      <c r="N49" s="288"/>
      <c r="O49" s="288"/>
      <c r="P49" s="236">
        <f>P47/H13*1000</f>
        <v>0</v>
      </c>
    </row>
    <row r="50" spans="2:16" x14ac:dyDescent="0.25">
      <c r="B50" s="142"/>
      <c r="C50" s="120"/>
      <c r="D50" s="120"/>
      <c r="E50" s="120"/>
      <c r="F50" s="120"/>
      <c r="G50" s="120"/>
      <c r="H50" s="120"/>
      <c r="I50" s="120"/>
      <c r="J50" s="120"/>
      <c r="K50" s="120"/>
      <c r="L50" s="120"/>
      <c r="M50" s="147"/>
      <c r="N50" s="148"/>
      <c r="O50" s="148"/>
      <c r="P50" s="145"/>
    </row>
    <row r="51" spans="2:16" x14ac:dyDescent="0.25">
      <c r="B51" s="142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450" t="s">
        <v>124</v>
      </c>
      <c r="N51" s="288"/>
      <c r="O51" s="288"/>
      <c r="P51" s="254" t="e">
        <f>P49/(1+(P18/100))</f>
        <v>#DIV/0!</v>
      </c>
    </row>
    <row r="52" spans="2:16" ht="13.8" thickBot="1" x14ac:dyDescent="0.3">
      <c r="B52" s="142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52"/>
      <c r="N52" s="153"/>
      <c r="O52" s="153"/>
      <c r="P52" s="154"/>
    </row>
    <row r="53" spans="2:16" ht="14.4" thickTop="1" thickBot="1" x14ac:dyDescent="0.3">
      <c r="B53" s="142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461" t="s">
        <v>115</v>
      </c>
      <c r="N53" s="462"/>
      <c r="O53" s="462"/>
      <c r="P53" s="463"/>
    </row>
    <row r="54" spans="2:16" x14ac:dyDescent="0.25">
      <c r="B54" s="142"/>
      <c r="C54" s="120"/>
      <c r="D54" s="120"/>
      <c r="E54" s="120"/>
      <c r="F54" s="120"/>
      <c r="G54" s="120"/>
      <c r="H54" s="120"/>
      <c r="I54" s="120"/>
      <c r="J54" s="120"/>
      <c r="K54" s="120"/>
      <c r="L54" s="120"/>
      <c r="M54" s="459" t="s">
        <v>116</v>
      </c>
      <c r="N54" s="460"/>
      <c r="O54" s="460"/>
      <c r="P54" s="87"/>
    </row>
    <row r="55" spans="2:16" x14ac:dyDescent="0.25">
      <c r="B55" s="142"/>
      <c r="C55" s="120"/>
      <c r="D55" s="120"/>
      <c r="E55" s="120"/>
      <c r="F55" s="120"/>
      <c r="G55" s="120"/>
      <c r="H55" s="120"/>
      <c r="I55" s="120"/>
      <c r="J55" s="120"/>
      <c r="K55" s="120"/>
      <c r="L55" s="120"/>
      <c r="M55" s="450"/>
      <c r="N55" s="288"/>
      <c r="O55" s="288"/>
      <c r="P55" s="155"/>
    </row>
    <row r="56" spans="2:16" x14ac:dyDescent="0.25">
      <c r="B56" s="142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457" t="s">
        <v>117</v>
      </c>
      <c r="N56" s="458"/>
      <c r="O56" s="458"/>
      <c r="P56" s="151" t="str">
        <f>IF(P54="","",P54-H12)</f>
        <v/>
      </c>
    </row>
    <row r="57" spans="2:16" x14ac:dyDescent="0.25">
      <c r="B57" s="142"/>
      <c r="C57" s="120"/>
      <c r="D57" s="120"/>
      <c r="E57" s="120"/>
      <c r="F57" s="120"/>
      <c r="G57" s="120"/>
      <c r="H57" s="120"/>
      <c r="I57" s="120"/>
      <c r="J57" s="120"/>
      <c r="K57" s="120"/>
      <c r="L57" s="120"/>
      <c r="M57" s="450"/>
      <c r="N57" s="288"/>
      <c r="O57" s="288"/>
      <c r="P57" s="156"/>
    </row>
    <row r="58" spans="2:16" x14ac:dyDescent="0.25">
      <c r="B58" s="142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457"/>
      <c r="N58" s="458"/>
      <c r="O58" s="458"/>
      <c r="P58" s="157" t="e">
        <f>IF(OR(P17="",P47="",P56=""),"",(((((100+P17)/(100*P47))*P56)-1)*100))</f>
        <v>#DIV/0!</v>
      </c>
    </row>
    <row r="59" spans="2:16" ht="13.8" thickBot="1" x14ac:dyDescent="0.3">
      <c r="B59" s="142"/>
      <c r="C59" s="120"/>
      <c r="D59" s="120"/>
      <c r="E59" s="120"/>
      <c r="F59" s="120"/>
      <c r="G59" s="120"/>
      <c r="H59" s="120"/>
      <c r="I59" s="120"/>
      <c r="J59" s="120"/>
      <c r="K59" s="120"/>
      <c r="L59" s="120"/>
      <c r="M59" s="449"/>
      <c r="N59" s="305"/>
      <c r="O59" s="305"/>
      <c r="P59" s="158"/>
    </row>
    <row r="60" spans="2:16" ht="16.95" customHeight="1" thickTop="1" x14ac:dyDescent="0.25">
      <c r="B60" s="142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451"/>
      <c r="N60" s="455"/>
      <c r="O60" s="455"/>
      <c r="P60" s="456"/>
    </row>
    <row r="61" spans="2:16" x14ac:dyDescent="0.25">
      <c r="B61" s="142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450" t="s">
        <v>118</v>
      </c>
      <c r="N61" s="288"/>
      <c r="O61" s="288"/>
      <c r="P61" s="159"/>
    </row>
    <row r="62" spans="2:16" ht="13.8" thickBot="1" x14ac:dyDescent="0.3">
      <c r="B62" s="160"/>
      <c r="C62" s="161"/>
      <c r="D62" s="161"/>
      <c r="E62" s="161"/>
      <c r="F62" s="161"/>
      <c r="G62" s="161"/>
      <c r="H62" s="161"/>
      <c r="I62" s="161"/>
      <c r="J62" s="161"/>
      <c r="K62" s="161"/>
      <c r="L62" s="162"/>
      <c r="M62" s="449" t="s">
        <v>119</v>
      </c>
      <c r="N62" s="305"/>
      <c r="O62" s="305"/>
      <c r="P62" s="163" t="e">
        <f>IF(OR(P58="",P61=""),"",(P61/P58)*100)</f>
        <v>#DIV/0!</v>
      </c>
    </row>
    <row r="63" spans="2:16" ht="13.8" thickTop="1" x14ac:dyDescent="0.25">
      <c r="B63" s="164"/>
      <c r="C63" s="165"/>
      <c r="D63" s="165"/>
      <c r="E63" s="165"/>
      <c r="F63" s="166"/>
      <c r="G63" s="166"/>
      <c r="H63" s="166"/>
      <c r="I63" s="166"/>
      <c r="J63" s="166"/>
      <c r="K63" s="166"/>
      <c r="L63" s="166"/>
      <c r="M63" s="166"/>
      <c r="N63" s="166"/>
      <c r="O63" s="166"/>
      <c r="P63" s="167"/>
    </row>
    <row r="64" spans="2:16" ht="13.8" thickBot="1" x14ac:dyDescent="0.3">
      <c r="B64" s="168"/>
      <c r="C64" s="169"/>
      <c r="D64" s="169"/>
      <c r="E64" s="169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54"/>
    </row>
    <row r="65" spans="2:16" ht="16.2" thickTop="1" x14ac:dyDescent="0.3">
      <c r="B65" s="88"/>
      <c r="C65" s="170"/>
      <c r="D65" s="170"/>
      <c r="E65" s="170"/>
      <c r="F65" s="170"/>
      <c r="G65" s="170"/>
      <c r="H65" s="170"/>
      <c r="I65" s="170"/>
      <c r="J65" s="170"/>
      <c r="K65" s="170"/>
      <c r="L65" s="170"/>
      <c r="M65" s="171"/>
      <c r="N65" s="172"/>
      <c r="O65" s="170"/>
      <c r="P65" s="171"/>
    </row>
    <row r="66" spans="2:16" ht="15.6" x14ac:dyDescent="0.3">
      <c r="B66" s="89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4"/>
      <c r="N66" s="175"/>
      <c r="O66" s="173"/>
      <c r="P66" s="174"/>
    </row>
    <row r="67" spans="2:16" ht="15.6" x14ac:dyDescent="0.3">
      <c r="B67" s="89"/>
      <c r="C67" s="90"/>
      <c r="D67" s="90"/>
      <c r="E67" s="90"/>
      <c r="F67" s="90"/>
      <c r="G67" s="90"/>
      <c r="H67" s="90"/>
      <c r="I67" s="91"/>
      <c r="J67" s="90"/>
      <c r="K67" s="90"/>
      <c r="L67" s="90"/>
      <c r="M67" s="92"/>
      <c r="N67" s="89"/>
      <c r="O67" s="90"/>
      <c r="P67" s="92"/>
    </row>
    <row r="68" spans="2:16" ht="17.399999999999999" x14ac:dyDescent="0.3">
      <c r="B68" s="89"/>
      <c r="C68" s="90"/>
      <c r="D68" s="379"/>
      <c r="E68" s="379"/>
      <c r="F68" s="379"/>
      <c r="G68" s="379"/>
      <c r="H68" s="379"/>
      <c r="I68" s="379"/>
      <c r="J68" s="379"/>
      <c r="K68" s="379"/>
      <c r="L68" s="379"/>
      <c r="M68" s="92"/>
      <c r="N68" s="89"/>
      <c r="O68" s="90"/>
      <c r="P68" s="92"/>
    </row>
    <row r="69" spans="2:16" ht="30" x14ac:dyDescent="0.5">
      <c r="B69" s="93"/>
      <c r="C69" s="94"/>
      <c r="D69" s="378"/>
      <c r="E69" s="378"/>
      <c r="F69" s="378"/>
      <c r="G69" s="378"/>
      <c r="H69" s="378"/>
      <c r="I69" s="378"/>
      <c r="J69" s="94"/>
      <c r="K69" s="94"/>
      <c r="L69" s="94"/>
      <c r="M69" s="95"/>
      <c r="N69" s="93"/>
      <c r="O69" s="94"/>
      <c r="P69" s="95"/>
    </row>
    <row r="70" spans="2:16" ht="18" customHeight="1" x14ac:dyDescent="0.25">
      <c r="B70" s="176"/>
      <c r="C70" s="96"/>
      <c r="D70" s="177"/>
      <c r="E70" s="177"/>
      <c r="F70" s="177"/>
      <c r="G70" s="177"/>
      <c r="H70" s="177"/>
      <c r="I70" s="177"/>
      <c r="J70" s="177"/>
      <c r="K70" s="177"/>
      <c r="L70" s="120"/>
      <c r="M70" s="98"/>
      <c r="N70" s="142"/>
      <c r="O70" s="120"/>
      <c r="P70" s="98"/>
    </row>
    <row r="71" spans="2:16" ht="18" customHeight="1" x14ac:dyDescent="0.25">
      <c r="B71" s="142"/>
      <c r="C71" s="97"/>
      <c r="D71" s="120"/>
      <c r="E71" s="120"/>
      <c r="F71" s="120"/>
      <c r="G71" s="120"/>
      <c r="H71" s="120"/>
      <c r="I71" s="120"/>
      <c r="J71" s="120"/>
      <c r="K71" s="120"/>
      <c r="L71" s="177"/>
      <c r="M71" s="98"/>
      <c r="N71" s="142"/>
      <c r="O71" s="120"/>
      <c r="P71" s="98"/>
    </row>
    <row r="72" spans="2:16" ht="12.75" customHeight="1" x14ac:dyDescent="0.25">
      <c r="B72" s="142"/>
      <c r="C72" s="120"/>
      <c r="D72" s="177"/>
      <c r="E72" s="177"/>
      <c r="F72" s="177"/>
      <c r="G72" s="177"/>
      <c r="H72" s="177"/>
      <c r="I72" s="120"/>
      <c r="J72" s="177"/>
      <c r="K72" s="177"/>
      <c r="L72" s="120"/>
      <c r="M72" s="98"/>
      <c r="N72" s="142"/>
      <c r="O72" s="120"/>
      <c r="P72" s="98"/>
    </row>
    <row r="73" spans="2:16" ht="13.8" thickBot="1" x14ac:dyDescent="0.3">
      <c r="B73" s="178"/>
      <c r="C73" s="179"/>
      <c r="D73" s="179"/>
      <c r="E73" s="179"/>
      <c r="F73" s="179"/>
      <c r="G73" s="179"/>
      <c r="H73" s="179"/>
      <c r="I73" s="179"/>
      <c r="J73" s="179"/>
      <c r="K73" s="179"/>
      <c r="L73" s="179"/>
      <c r="M73" s="180"/>
      <c r="N73" s="99"/>
      <c r="O73" s="181"/>
      <c r="P73" s="182"/>
    </row>
  </sheetData>
  <sheetProtection selectLockedCells="1" selectUnlockedCells="1"/>
  <mergeCells count="121">
    <mergeCell ref="B15:E15"/>
    <mergeCell ref="B29:C29"/>
    <mergeCell ref="D25:E25"/>
    <mergeCell ref="M40:O40"/>
    <mergeCell ref="M39:O39"/>
    <mergeCell ref="M33:M34"/>
    <mergeCell ref="H15:I15"/>
    <mergeCell ref="H18:I18"/>
    <mergeCell ref="H16:I16"/>
    <mergeCell ref="M37:O37"/>
    <mergeCell ref="M38:O38"/>
    <mergeCell ref="L33:L34"/>
    <mergeCell ref="N33:N34"/>
    <mergeCell ref="L25:M25"/>
    <mergeCell ref="L29:L30"/>
    <mergeCell ref="J17:N17"/>
    <mergeCell ref="J18:N18"/>
    <mergeCell ref="J15:N15"/>
    <mergeCell ref="J16:N16"/>
    <mergeCell ref="B17:E17"/>
    <mergeCell ref="B31:C31"/>
    <mergeCell ref="B32:C32"/>
    <mergeCell ref="B33:C33"/>
    <mergeCell ref="O31:O32"/>
    <mergeCell ref="M31:M32"/>
    <mergeCell ref="L31:L32"/>
    <mergeCell ref="B25:C26"/>
    <mergeCell ref="G25:J25"/>
    <mergeCell ref="F25:F26"/>
    <mergeCell ref="N25:N26"/>
    <mergeCell ref="O25:O26"/>
    <mergeCell ref="O19:O20"/>
    <mergeCell ref="F20:G20"/>
    <mergeCell ref="N29:N30"/>
    <mergeCell ref="O29:O30"/>
    <mergeCell ref="F22:G22"/>
    <mergeCell ref="F23:G23"/>
    <mergeCell ref="F21:G21"/>
    <mergeCell ref="B19:G19"/>
    <mergeCell ref="P25:P26"/>
    <mergeCell ref="L8:P8"/>
    <mergeCell ref="M62:O62"/>
    <mergeCell ref="M42:O42"/>
    <mergeCell ref="M44:P44"/>
    <mergeCell ref="M45:O45"/>
    <mergeCell ref="M43:O43"/>
    <mergeCell ref="M51:O51"/>
    <mergeCell ref="M61:O61"/>
    <mergeCell ref="M60:P60"/>
    <mergeCell ref="M59:O59"/>
    <mergeCell ref="M49:O49"/>
    <mergeCell ref="M56:O56"/>
    <mergeCell ref="M58:O58"/>
    <mergeCell ref="M57:O57"/>
    <mergeCell ref="M55:O55"/>
    <mergeCell ref="M54:O54"/>
    <mergeCell ref="M53:P53"/>
    <mergeCell ref="P33:P34"/>
    <mergeCell ref="M35:P35"/>
    <mergeCell ref="M36:O36"/>
    <mergeCell ref="O33:O34"/>
    <mergeCell ref="M41:O41"/>
    <mergeCell ref="L27:L28"/>
    <mergeCell ref="M6:N6"/>
    <mergeCell ref="O4:P4"/>
    <mergeCell ref="O6:P6"/>
    <mergeCell ref="O5:P5"/>
    <mergeCell ref="B6:H6"/>
    <mergeCell ref="B8:G8"/>
    <mergeCell ref="H8:J8"/>
    <mergeCell ref="B7:E7"/>
    <mergeCell ref="L4:N4"/>
    <mergeCell ref="I6:L6"/>
    <mergeCell ref="P31:P32"/>
    <mergeCell ref="M29:M30"/>
    <mergeCell ref="J10:N10"/>
    <mergeCell ref="J11:N11"/>
    <mergeCell ref="J12:N12"/>
    <mergeCell ref="J13:N13"/>
    <mergeCell ref="B27:C27"/>
    <mergeCell ref="B14:E14"/>
    <mergeCell ref="H14:I14"/>
    <mergeCell ref="P29:P30"/>
    <mergeCell ref="P27:P28"/>
    <mergeCell ref="B11:G11"/>
    <mergeCell ref="M20:N20"/>
    <mergeCell ref="M21:N21"/>
    <mergeCell ref="M22:N22"/>
    <mergeCell ref="B30:C30"/>
    <mergeCell ref="B28:C28"/>
    <mergeCell ref="H19:N19"/>
    <mergeCell ref="L24:O24"/>
    <mergeCell ref="B12:E12"/>
    <mergeCell ref="H13:I13"/>
    <mergeCell ref="H11:I11"/>
    <mergeCell ref="B13:E13"/>
    <mergeCell ref="H12:I12"/>
    <mergeCell ref="B2:P2"/>
    <mergeCell ref="B3:E3"/>
    <mergeCell ref="B4:E4"/>
    <mergeCell ref="F3:J3"/>
    <mergeCell ref="F4:J4"/>
    <mergeCell ref="H7:I7"/>
    <mergeCell ref="J14:N14"/>
    <mergeCell ref="D69:I69"/>
    <mergeCell ref="D68:L68"/>
    <mergeCell ref="L3:N3"/>
    <mergeCell ref="B5:H5"/>
    <mergeCell ref="M5:N5"/>
    <mergeCell ref="B9:P9"/>
    <mergeCell ref="B10:I10"/>
    <mergeCell ref="O27:O28"/>
    <mergeCell ref="M27:M28"/>
    <mergeCell ref="P19:P20"/>
    <mergeCell ref="P22:P23"/>
    <mergeCell ref="B24:K24"/>
    <mergeCell ref="H17:I17"/>
    <mergeCell ref="B16:E16"/>
    <mergeCell ref="B18:E18"/>
    <mergeCell ref="N27:N28"/>
    <mergeCell ref="N31:N32"/>
  </mergeCells>
  <phoneticPr fontId="0" type="noConversion"/>
  <printOptions horizontalCentered="1"/>
  <pageMargins left="0.23622047244094491" right="0" top="0.39370078740157483" bottom="0" header="0.27559055118110237" footer="0"/>
  <pageSetup paperSize="9" scale="73" orientation="portrait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1:AJ174"/>
  <sheetViews>
    <sheetView topLeftCell="A32" workbookViewId="0">
      <selection activeCell="A61" sqref="A61"/>
    </sheetView>
  </sheetViews>
  <sheetFormatPr defaultColWidth="8.77734375" defaultRowHeight="13.2" x14ac:dyDescent="0.25"/>
  <cols>
    <col min="7" max="7" width="12.44140625" bestFit="1" customWidth="1"/>
    <col min="8" max="8" width="17" bestFit="1" customWidth="1"/>
  </cols>
  <sheetData>
    <row r="1" spans="1:36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x14ac:dyDescent="0.25">
      <c r="A2" s="18"/>
      <c r="B2" s="19"/>
      <c r="C2" s="20" t="s">
        <v>13</v>
      </c>
      <c r="D2" s="21"/>
      <c r="E2" s="21"/>
      <c r="F2" s="21"/>
      <c r="G2" s="21"/>
      <c r="H2" s="21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</row>
    <row r="3" spans="1:36" x14ac:dyDescent="0.25">
      <c r="A3" s="6"/>
      <c r="B3" s="21"/>
      <c r="C3" s="21"/>
      <c r="D3" s="21"/>
      <c r="E3" s="21"/>
      <c r="F3" s="21"/>
      <c r="G3" s="21"/>
      <c r="H3" s="21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6" x14ac:dyDescent="0.25">
      <c r="A4" s="6"/>
      <c r="B4" s="21"/>
      <c r="C4" s="21"/>
      <c r="D4" s="21"/>
      <c r="E4" s="21"/>
      <c r="F4" s="21"/>
      <c r="G4" s="21"/>
      <c r="H4" s="21"/>
      <c r="I4" s="6"/>
      <c r="J4" s="2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 ht="15.6" x14ac:dyDescent="0.25">
      <c r="A5" s="6"/>
      <c r="B5" s="21"/>
      <c r="C5" s="21"/>
      <c r="D5" s="6"/>
      <c r="E5" s="15" t="s">
        <v>132</v>
      </c>
      <c r="F5" s="6"/>
      <c r="G5" s="6"/>
      <c r="H5" s="6"/>
      <c r="I5" s="6"/>
      <c r="J5" s="2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 x14ac:dyDescent="0.25">
      <c r="A6" s="6"/>
      <c r="B6" s="21"/>
      <c r="C6" s="21"/>
      <c r="D6" s="6"/>
      <c r="E6" s="6"/>
      <c r="F6" s="6"/>
      <c r="G6" s="6"/>
      <c r="H6" s="6"/>
      <c r="I6" s="6"/>
      <c r="J6" s="21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 ht="15.6" x14ac:dyDescent="0.35">
      <c r="A7" s="6"/>
      <c r="B7" s="22" t="s">
        <v>133</v>
      </c>
      <c r="C7" s="23" t="s">
        <v>134</v>
      </c>
      <c r="D7" s="23" t="s">
        <v>135</v>
      </c>
      <c r="E7" s="23" t="s">
        <v>136</v>
      </c>
      <c r="F7" s="22" t="s">
        <v>137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ht="16.8" x14ac:dyDescent="0.35">
      <c r="A8" s="6"/>
      <c r="B8" s="22" t="s">
        <v>138</v>
      </c>
      <c r="C8" s="23" t="s">
        <v>139</v>
      </c>
      <c r="D8" s="23" t="s">
        <v>140</v>
      </c>
      <c r="E8" s="23" t="s">
        <v>141</v>
      </c>
      <c r="F8" s="22" t="s">
        <v>142</v>
      </c>
      <c r="G8" s="6">
        <v>1</v>
      </c>
      <c r="H8" s="1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6" x14ac:dyDescent="0.25">
      <c r="A11" s="6"/>
      <c r="B11" s="6"/>
      <c r="C11" s="21" t="s">
        <v>14</v>
      </c>
      <c r="D11" s="21"/>
      <c r="E11" s="22"/>
      <c r="F11" s="22"/>
      <c r="G11" s="2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 x14ac:dyDescent="0.25">
      <c r="A13" s="6"/>
      <c r="B13" s="6"/>
      <c r="C13" s="24" t="s">
        <v>15</v>
      </c>
      <c r="D13" s="25" t="e">
        <f>DENS!M23</f>
        <v>#DIV/0!</v>
      </c>
      <c r="E13" s="25" t="e">
        <f>DENS!M24</f>
        <v>#DIV/0!</v>
      </c>
      <c r="F13" s="25" t="e">
        <f>DENS!M25</f>
        <v>#DIV/0!</v>
      </c>
      <c r="G13" s="25" t="e">
        <f>DENS!M26</f>
        <v>#DIV/0!</v>
      </c>
      <c r="H13" s="25" t="e">
        <f>DENS!#REF!</f>
        <v>#REF!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 x14ac:dyDescent="0.25">
      <c r="A14" s="6"/>
      <c r="B14" s="6"/>
      <c r="C14" s="6" t="s">
        <v>16</v>
      </c>
      <c r="D14" s="26" t="e">
        <f>DENS!N23</f>
        <v>#DIV/0!</v>
      </c>
      <c r="E14" s="26" t="e">
        <f>DENS!N24</f>
        <v>#DIV/0!</v>
      </c>
      <c r="F14" s="26" t="e">
        <f>DENS!N25</f>
        <v>#DIV/0!</v>
      </c>
      <c r="G14" s="26" t="e">
        <f>DENS!N26</f>
        <v>#DIV/0!</v>
      </c>
      <c r="H14" s="26" t="e">
        <f>DENS!#REF!</f>
        <v>#REF!</v>
      </c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 ht="16.8" x14ac:dyDescent="0.35">
      <c r="A17" s="6"/>
      <c r="B17" s="3" t="s">
        <v>17</v>
      </c>
      <c r="C17" s="3" t="s">
        <v>15</v>
      </c>
      <c r="D17" s="3" t="s">
        <v>16</v>
      </c>
      <c r="E17" s="2" t="s">
        <v>143</v>
      </c>
      <c r="F17" s="2" t="s">
        <v>144</v>
      </c>
      <c r="G17" s="2" t="s">
        <v>145</v>
      </c>
      <c r="H17" s="2" t="s">
        <v>146</v>
      </c>
      <c r="I17" s="2" t="s">
        <v>147</v>
      </c>
      <c r="J17" s="2" t="s">
        <v>148</v>
      </c>
      <c r="K17" s="2" t="s">
        <v>149</v>
      </c>
      <c r="L17" s="2" t="s">
        <v>150</v>
      </c>
      <c r="M17" s="2" t="s">
        <v>151</v>
      </c>
      <c r="N17" s="2" t="s">
        <v>152</v>
      </c>
      <c r="O17" s="2" t="s">
        <v>153</v>
      </c>
      <c r="P17" s="2" t="s">
        <v>154</v>
      </c>
      <c r="Q17" s="2" t="s">
        <v>155</v>
      </c>
      <c r="R17" s="2" t="s">
        <v>156</v>
      </c>
      <c r="S17" s="2" t="s">
        <v>157</v>
      </c>
      <c r="T17" s="2" t="s">
        <v>158</v>
      </c>
      <c r="U17" s="2" t="s">
        <v>159</v>
      </c>
      <c r="V17" s="2" t="s">
        <v>160</v>
      </c>
      <c r="W17" s="2" t="s">
        <v>161</v>
      </c>
      <c r="X17" s="2" t="s">
        <v>162</v>
      </c>
      <c r="Y17" s="2" t="s">
        <v>163</v>
      </c>
      <c r="Z17" s="2" t="s">
        <v>164</v>
      </c>
      <c r="AA17" s="2" t="s">
        <v>165</v>
      </c>
      <c r="AB17" s="2" t="s">
        <v>166</v>
      </c>
      <c r="AC17" s="2" t="s">
        <v>167</v>
      </c>
      <c r="AD17" s="6"/>
      <c r="AE17" s="6"/>
      <c r="AF17" s="6"/>
      <c r="AG17" s="6"/>
      <c r="AH17" s="6"/>
      <c r="AI17" s="6"/>
      <c r="AJ17" s="6"/>
    </row>
    <row r="18" spans="1:36" x14ac:dyDescent="0.25">
      <c r="A18" s="6"/>
      <c r="B18" s="6">
        <v>0</v>
      </c>
      <c r="C18" s="6" t="e">
        <f>D13</f>
        <v>#DIV/0!</v>
      </c>
      <c r="D18" s="6" t="e">
        <f>D$14</f>
        <v>#DIV/0!</v>
      </c>
      <c r="E18" s="6" t="e">
        <f>C18^4</f>
        <v>#DIV/0!</v>
      </c>
      <c r="F18" s="6" t="e">
        <f>C18^3</f>
        <v>#DIV/0!</v>
      </c>
      <c r="G18" s="6" t="e">
        <f>C18^2</f>
        <v>#DIV/0!</v>
      </c>
      <c r="H18" s="6" t="e">
        <f>C18</f>
        <v>#DIV/0!</v>
      </c>
      <c r="I18" s="6">
        <f>1</f>
        <v>1</v>
      </c>
      <c r="J18" s="7" t="e">
        <f t="shared" ref="J18:N22" si="0">E18^2</f>
        <v>#DIV/0!</v>
      </c>
      <c r="K18" s="6" t="e">
        <f t="shared" si="0"/>
        <v>#DIV/0!</v>
      </c>
      <c r="L18" s="6" t="e">
        <f t="shared" si="0"/>
        <v>#DIV/0!</v>
      </c>
      <c r="M18" s="6" t="e">
        <f t="shared" si="0"/>
        <v>#DIV/0!</v>
      </c>
      <c r="N18" s="6">
        <f t="shared" si="0"/>
        <v>1</v>
      </c>
      <c r="O18" s="6" t="e">
        <f>E18*F18</f>
        <v>#DIV/0!</v>
      </c>
      <c r="P18" s="6" t="e">
        <f>E18*G18</f>
        <v>#DIV/0!</v>
      </c>
      <c r="Q18" s="6" t="e">
        <f>E18*H18</f>
        <v>#DIV/0!</v>
      </c>
      <c r="R18" s="6" t="e">
        <f>E18*I18</f>
        <v>#DIV/0!</v>
      </c>
      <c r="S18" s="6" t="e">
        <f>F18*G18</f>
        <v>#DIV/0!</v>
      </c>
      <c r="T18" s="6" t="e">
        <f>F18*H18</f>
        <v>#DIV/0!</v>
      </c>
      <c r="U18" s="6" t="e">
        <f>F18*I18</f>
        <v>#DIV/0!</v>
      </c>
      <c r="V18" s="6" t="e">
        <f>G18*H18</f>
        <v>#DIV/0!</v>
      </c>
      <c r="W18" s="6" t="e">
        <f>G18*I18</f>
        <v>#DIV/0!</v>
      </c>
      <c r="X18" s="6" t="e">
        <f>H18*I18</f>
        <v>#DIV/0!</v>
      </c>
      <c r="Y18" s="6" t="e">
        <f>E18*D18</f>
        <v>#DIV/0!</v>
      </c>
      <c r="Z18" s="6" t="e">
        <f>D18*F18</f>
        <v>#DIV/0!</v>
      </c>
      <c r="AA18" s="6" t="e">
        <f>G18*D18</f>
        <v>#DIV/0!</v>
      </c>
      <c r="AB18" s="6" t="e">
        <f>H18*D18</f>
        <v>#DIV/0!</v>
      </c>
      <c r="AC18" s="6" t="e">
        <f>D18*I18</f>
        <v>#DIV/0!</v>
      </c>
      <c r="AD18" s="6"/>
      <c r="AE18" s="6"/>
      <c r="AF18" s="6"/>
      <c r="AG18" s="6"/>
      <c r="AH18" s="6"/>
      <c r="AI18" s="6"/>
      <c r="AJ18" s="6"/>
    </row>
    <row r="19" spans="1:36" x14ac:dyDescent="0.25">
      <c r="A19" s="6"/>
      <c r="B19" s="6">
        <v>1</v>
      </c>
      <c r="C19" s="6" t="e">
        <f>E13</f>
        <v>#DIV/0!</v>
      </c>
      <c r="D19" s="6" t="e">
        <f>E14</f>
        <v>#DIV/0!</v>
      </c>
      <c r="E19" s="6" t="e">
        <f>C19^4</f>
        <v>#DIV/0!</v>
      </c>
      <c r="F19" s="6" t="e">
        <f>C19^3</f>
        <v>#DIV/0!</v>
      </c>
      <c r="G19" s="6" t="e">
        <f>C19^2</f>
        <v>#DIV/0!</v>
      </c>
      <c r="H19" s="6" t="e">
        <f>C19</f>
        <v>#DIV/0!</v>
      </c>
      <c r="I19" s="6">
        <f>1</f>
        <v>1</v>
      </c>
      <c r="J19" s="7" t="e">
        <f t="shared" si="0"/>
        <v>#DIV/0!</v>
      </c>
      <c r="K19" s="6" t="e">
        <f t="shared" si="0"/>
        <v>#DIV/0!</v>
      </c>
      <c r="L19" s="6" t="e">
        <f t="shared" si="0"/>
        <v>#DIV/0!</v>
      </c>
      <c r="M19" s="6" t="e">
        <f t="shared" si="0"/>
        <v>#DIV/0!</v>
      </c>
      <c r="N19" s="6">
        <f t="shared" si="0"/>
        <v>1</v>
      </c>
      <c r="O19" s="6" t="e">
        <f>E19*F19</f>
        <v>#DIV/0!</v>
      </c>
      <c r="P19" s="6" t="e">
        <f>E19*G19</f>
        <v>#DIV/0!</v>
      </c>
      <c r="Q19" s="6" t="e">
        <f>E19*H19</f>
        <v>#DIV/0!</v>
      </c>
      <c r="R19" s="6" t="e">
        <f>E19*I19</f>
        <v>#DIV/0!</v>
      </c>
      <c r="S19" s="6" t="e">
        <f>F19*G19</f>
        <v>#DIV/0!</v>
      </c>
      <c r="T19" s="6" t="e">
        <f>F19*H19</f>
        <v>#DIV/0!</v>
      </c>
      <c r="U19" s="6" t="e">
        <f>F19*I19</f>
        <v>#DIV/0!</v>
      </c>
      <c r="V19" s="6" t="e">
        <f>G19*H19</f>
        <v>#DIV/0!</v>
      </c>
      <c r="W19" s="6" t="e">
        <f>G19*I19</f>
        <v>#DIV/0!</v>
      </c>
      <c r="X19" s="6" t="e">
        <f>H19*I19</f>
        <v>#DIV/0!</v>
      </c>
      <c r="Y19" s="6" t="e">
        <f>E19*D19</f>
        <v>#DIV/0!</v>
      </c>
      <c r="Z19" s="6" t="e">
        <f>D19*F19</f>
        <v>#DIV/0!</v>
      </c>
      <c r="AA19" s="6" t="e">
        <f>G19*D19</f>
        <v>#DIV/0!</v>
      </c>
      <c r="AB19" s="6" t="e">
        <f>H19*D19</f>
        <v>#DIV/0!</v>
      </c>
      <c r="AC19" s="6" t="e">
        <f>D19*I19</f>
        <v>#DIV/0!</v>
      </c>
      <c r="AD19" s="6"/>
      <c r="AE19" s="6"/>
      <c r="AF19" s="6"/>
      <c r="AG19" s="6"/>
      <c r="AH19" s="6"/>
      <c r="AI19" s="6"/>
      <c r="AJ19" s="6"/>
    </row>
    <row r="20" spans="1:36" x14ac:dyDescent="0.25">
      <c r="A20" s="6"/>
      <c r="B20" s="6">
        <v>2</v>
      </c>
      <c r="C20" s="6" t="e">
        <f>F13</f>
        <v>#DIV/0!</v>
      </c>
      <c r="D20" s="6" t="e">
        <f>F14</f>
        <v>#DIV/0!</v>
      </c>
      <c r="E20" s="6" t="e">
        <f>C20^4</f>
        <v>#DIV/0!</v>
      </c>
      <c r="F20" s="6" t="e">
        <f>C20^3</f>
        <v>#DIV/0!</v>
      </c>
      <c r="G20" s="6" t="e">
        <f>C20^2</f>
        <v>#DIV/0!</v>
      </c>
      <c r="H20" s="6" t="e">
        <f>C20</f>
        <v>#DIV/0!</v>
      </c>
      <c r="I20" s="6">
        <f>1</f>
        <v>1</v>
      </c>
      <c r="J20" s="7" t="e">
        <f t="shared" si="0"/>
        <v>#DIV/0!</v>
      </c>
      <c r="K20" s="6" t="e">
        <f t="shared" si="0"/>
        <v>#DIV/0!</v>
      </c>
      <c r="L20" s="6" t="e">
        <f t="shared" si="0"/>
        <v>#DIV/0!</v>
      </c>
      <c r="M20" s="6" t="e">
        <f t="shared" si="0"/>
        <v>#DIV/0!</v>
      </c>
      <c r="N20" s="6">
        <f t="shared" si="0"/>
        <v>1</v>
      </c>
      <c r="O20" s="6" t="e">
        <f>E20*F20</f>
        <v>#DIV/0!</v>
      </c>
      <c r="P20" s="6" t="e">
        <f>E20*G20</f>
        <v>#DIV/0!</v>
      </c>
      <c r="Q20" s="6" t="e">
        <f>E20*H20</f>
        <v>#DIV/0!</v>
      </c>
      <c r="R20" s="6" t="e">
        <f>E20*I20</f>
        <v>#DIV/0!</v>
      </c>
      <c r="S20" s="6" t="e">
        <f>F20*G20</f>
        <v>#DIV/0!</v>
      </c>
      <c r="T20" s="6" t="e">
        <f>F20*H20</f>
        <v>#DIV/0!</v>
      </c>
      <c r="U20" s="6" t="e">
        <f>F20*I20</f>
        <v>#DIV/0!</v>
      </c>
      <c r="V20" s="6" t="e">
        <f>G20*H20</f>
        <v>#DIV/0!</v>
      </c>
      <c r="W20" s="6" t="e">
        <f>G20*I20</f>
        <v>#DIV/0!</v>
      </c>
      <c r="X20" s="6" t="e">
        <f>H20*I20</f>
        <v>#DIV/0!</v>
      </c>
      <c r="Y20" s="6" t="e">
        <f>E20*D20</f>
        <v>#DIV/0!</v>
      </c>
      <c r="Z20" s="6" t="e">
        <f>D20*F20</f>
        <v>#DIV/0!</v>
      </c>
      <c r="AA20" s="6" t="e">
        <f>G20*D20</f>
        <v>#DIV/0!</v>
      </c>
      <c r="AB20" s="6" t="e">
        <f>H20*D20</f>
        <v>#DIV/0!</v>
      </c>
      <c r="AC20" s="6" t="e">
        <f>D20*I20</f>
        <v>#DIV/0!</v>
      </c>
      <c r="AD20" s="6"/>
      <c r="AE20" s="6"/>
      <c r="AF20" s="6"/>
      <c r="AG20" s="6"/>
      <c r="AH20" s="6"/>
      <c r="AI20" s="6"/>
      <c r="AJ20" s="6"/>
    </row>
    <row r="21" spans="1:36" x14ac:dyDescent="0.25">
      <c r="A21" s="1"/>
      <c r="B21" s="6">
        <v>3</v>
      </c>
      <c r="C21" s="6" t="e">
        <f>G13</f>
        <v>#DIV/0!</v>
      </c>
      <c r="D21" s="6" t="e">
        <f>G14</f>
        <v>#DIV/0!</v>
      </c>
      <c r="E21" s="6" t="e">
        <f>C21^4</f>
        <v>#DIV/0!</v>
      </c>
      <c r="F21" s="6" t="e">
        <f>C21^3</f>
        <v>#DIV/0!</v>
      </c>
      <c r="G21" s="6" t="e">
        <f>C21^2</f>
        <v>#DIV/0!</v>
      </c>
      <c r="H21" s="6" t="e">
        <f>C21</f>
        <v>#DIV/0!</v>
      </c>
      <c r="I21" s="6">
        <f>1</f>
        <v>1</v>
      </c>
      <c r="J21" s="7" t="e">
        <f t="shared" si="0"/>
        <v>#DIV/0!</v>
      </c>
      <c r="K21" s="6" t="e">
        <f t="shared" si="0"/>
        <v>#DIV/0!</v>
      </c>
      <c r="L21" s="6" t="e">
        <f t="shared" si="0"/>
        <v>#DIV/0!</v>
      </c>
      <c r="M21" s="6" t="e">
        <f t="shared" si="0"/>
        <v>#DIV/0!</v>
      </c>
      <c r="N21" s="6">
        <f t="shared" si="0"/>
        <v>1</v>
      </c>
      <c r="O21" s="6" t="e">
        <f>E21*F21</f>
        <v>#DIV/0!</v>
      </c>
      <c r="P21" s="6" t="e">
        <f>E21*G21</f>
        <v>#DIV/0!</v>
      </c>
      <c r="Q21" s="6" t="e">
        <f>E21*H21</f>
        <v>#DIV/0!</v>
      </c>
      <c r="R21" s="6" t="e">
        <f>E21*I21</f>
        <v>#DIV/0!</v>
      </c>
      <c r="S21" s="6" t="e">
        <f>F21*G21</f>
        <v>#DIV/0!</v>
      </c>
      <c r="T21" s="6" t="e">
        <f>F21*H21</f>
        <v>#DIV/0!</v>
      </c>
      <c r="U21" s="6" t="e">
        <f>F21*I21</f>
        <v>#DIV/0!</v>
      </c>
      <c r="V21" s="6" t="e">
        <f>G21*H21</f>
        <v>#DIV/0!</v>
      </c>
      <c r="W21" s="6" t="e">
        <f>G21*I21</f>
        <v>#DIV/0!</v>
      </c>
      <c r="X21" s="6" t="e">
        <f>H21*I21</f>
        <v>#DIV/0!</v>
      </c>
      <c r="Y21" s="6" t="e">
        <f>E21*D21</f>
        <v>#DIV/0!</v>
      </c>
      <c r="Z21" s="6" t="e">
        <f>D21*F21</f>
        <v>#DIV/0!</v>
      </c>
      <c r="AA21" s="6" t="e">
        <f>G21*D21</f>
        <v>#DIV/0!</v>
      </c>
      <c r="AB21" s="6" t="e">
        <f>H21*D21</f>
        <v>#DIV/0!</v>
      </c>
      <c r="AC21" s="6" t="e">
        <f>D21*I21</f>
        <v>#DIV/0!</v>
      </c>
      <c r="AD21" s="6"/>
      <c r="AE21" s="6"/>
      <c r="AF21" s="6"/>
      <c r="AG21" s="6"/>
      <c r="AH21" s="6"/>
      <c r="AI21" s="6"/>
      <c r="AJ21" s="6"/>
    </row>
    <row r="22" spans="1:36" ht="13.8" thickBot="1" x14ac:dyDescent="0.3">
      <c r="A22" s="8"/>
      <c r="B22" s="6">
        <v>4</v>
      </c>
      <c r="C22" s="6" t="e">
        <f>H13</f>
        <v>#REF!</v>
      </c>
      <c r="D22" s="6" t="e">
        <f>H14</f>
        <v>#REF!</v>
      </c>
      <c r="E22" s="6" t="e">
        <f>C22^4</f>
        <v>#REF!</v>
      </c>
      <c r="F22" s="6" t="e">
        <f>C22^3</f>
        <v>#REF!</v>
      </c>
      <c r="G22" s="6" t="e">
        <f>C22^2</f>
        <v>#REF!</v>
      </c>
      <c r="H22" s="6" t="e">
        <f>C22</f>
        <v>#REF!</v>
      </c>
      <c r="I22" s="9">
        <f>1</f>
        <v>1</v>
      </c>
      <c r="J22" s="10" t="e">
        <f t="shared" si="0"/>
        <v>#REF!</v>
      </c>
      <c r="K22" s="9" t="e">
        <f t="shared" si="0"/>
        <v>#REF!</v>
      </c>
      <c r="L22" s="9" t="e">
        <f t="shared" si="0"/>
        <v>#REF!</v>
      </c>
      <c r="M22" s="9" t="e">
        <f t="shared" si="0"/>
        <v>#REF!</v>
      </c>
      <c r="N22" s="9">
        <f t="shared" si="0"/>
        <v>1</v>
      </c>
      <c r="O22" s="9" t="e">
        <f>E22*F22</f>
        <v>#REF!</v>
      </c>
      <c r="P22" s="9" t="e">
        <f>E22*G22</f>
        <v>#REF!</v>
      </c>
      <c r="Q22" s="9" t="e">
        <f>E22*H22</f>
        <v>#REF!</v>
      </c>
      <c r="R22" s="9" t="e">
        <f>E22*I22</f>
        <v>#REF!</v>
      </c>
      <c r="S22" s="9" t="e">
        <f>F22*G22</f>
        <v>#REF!</v>
      </c>
      <c r="T22" s="9" t="e">
        <f>F22*H22</f>
        <v>#REF!</v>
      </c>
      <c r="U22" s="9" t="e">
        <f>F22*I22</f>
        <v>#REF!</v>
      </c>
      <c r="V22" s="9" t="e">
        <f>G22*H22</f>
        <v>#REF!</v>
      </c>
      <c r="W22" s="9" t="e">
        <f>G22*I22</f>
        <v>#REF!</v>
      </c>
      <c r="X22" s="9" t="e">
        <f>H22*I22</f>
        <v>#REF!</v>
      </c>
      <c r="Y22" s="9" t="e">
        <f>E22*D22</f>
        <v>#REF!</v>
      </c>
      <c r="Z22" s="9" t="e">
        <f>D22*F22</f>
        <v>#REF!</v>
      </c>
      <c r="AA22" s="9" t="e">
        <f>G22*D22</f>
        <v>#REF!</v>
      </c>
      <c r="AB22" s="9" t="e">
        <f>H22*D22</f>
        <v>#REF!</v>
      </c>
      <c r="AC22" s="9" t="e">
        <f>D22*I22</f>
        <v>#REF!</v>
      </c>
      <c r="AD22" s="6"/>
      <c r="AE22" s="6"/>
      <c r="AF22" s="6"/>
      <c r="AG22" s="6"/>
      <c r="AH22" s="6"/>
      <c r="AI22" s="6"/>
      <c r="AJ22" s="6"/>
    </row>
    <row r="23" spans="1:36" x14ac:dyDescent="0.25">
      <c r="A23" s="8"/>
      <c r="B23" s="6"/>
      <c r="C23" s="6"/>
      <c r="D23" s="6"/>
      <c r="E23" s="6"/>
      <c r="F23" s="6"/>
      <c r="G23" s="6"/>
      <c r="H23" s="6"/>
      <c r="I23" s="11" t="s">
        <v>18</v>
      </c>
      <c r="J23" s="12" t="e">
        <f t="shared" ref="J23:AC23" si="1">SUM(J18:J22)</f>
        <v>#DIV/0!</v>
      </c>
      <c r="K23" s="13" t="e">
        <f t="shared" si="1"/>
        <v>#DIV/0!</v>
      </c>
      <c r="L23" s="13" t="e">
        <f t="shared" si="1"/>
        <v>#DIV/0!</v>
      </c>
      <c r="M23" s="13" t="e">
        <f t="shared" si="1"/>
        <v>#DIV/0!</v>
      </c>
      <c r="N23" s="13">
        <f t="shared" si="1"/>
        <v>5</v>
      </c>
      <c r="O23" s="13" t="e">
        <f t="shared" si="1"/>
        <v>#DIV/0!</v>
      </c>
      <c r="P23" s="13" t="e">
        <f t="shared" si="1"/>
        <v>#DIV/0!</v>
      </c>
      <c r="Q23" s="13" t="e">
        <f t="shared" si="1"/>
        <v>#DIV/0!</v>
      </c>
      <c r="R23" s="13" t="e">
        <f t="shared" si="1"/>
        <v>#DIV/0!</v>
      </c>
      <c r="S23" s="13" t="e">
        <f t="shared" si="1"/>
        <v>#DIV/0!</v>
      </c>
      <c r="T23" s="13" t="e">
        <f t="shared" si="1"/>
        <v>#DIV/0!</v>
      </c>
      <c r="U23" s="13" t="e">
        <f t="shared" si="1"/>
        <v>#DIV/0!</v>
      </c>
      <c r="V23" s="13" t="e">
        <f t="shared" si="1"/>
        <v>#DIV/0!</v>
      </c>
      <c r="W23" s="13" t="e">
        <f t="shared" si="1"/>
        <v>#DIV/0!</v>
      </c>
      <c r="X23" s="13" t="e">
        <f t="shared" si="1"/>
        <v>#DIV/0!</v>
      </c>
      <c r="Y23" s="13" t="e">
        <f t="shared" si="1"/>
        <v>#DIV/0!</v>
      </c>
      <c r="Z23" s="13" t="e">
        <f t="shared" si="1"/>
        <v>#DIV/0!</v>
      </c>
      <c r="AA23" s="13" t="e">
        <f t="shared" si="1"/>
        <v>#DIV/0!</v>
      </c>
      <c r="AB23" s="13" t="e">
        <f t="shared" si="1"/>
        <v>#DIV/0!</v>
      </c>
      <c r="AC23" s="13" t="e">
        <f t="shared" si="1"/>
        <v>#DIV/0!</v>
      </c>
      <c r="AD23" s="13"/>
      <c r="AE23" s="13"/>
      <c r="AF23" s="13"/>
      <c r="AG23" s="13"/>
      <c r="AH23" s="13"/>
      <c r="AI23" s="13"/>
      <c r="AJ23" s="13"/>
    </row>
    <row r="24" spans="1:36" x14ac:dyDescent="0.25">
      <c r="A24" s="27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spans="1:36" x14ac:dyDescent="0.25">
      <c r="A25" s="27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spans="1:36" x14ac:dyDescent="0.25">
      <c r="A26" s="27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spans="1:36" x14ac:dyDescent="0.25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spans="1:36" x14ac:dyDescent="0.25">
      <c r="A28" s="13"/>
      <c r="B28" s="13"/>
      <c r="C28" s="13"/>
      <c r="D28" s="13"/>
      <c r="E28" s="13" t="s">
        <v>19</v>
      </c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spans="1:36" x14ac:dyDescent="0.25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spans="1:36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spans="1:36" ht="15.6" x14ac:dyDescent="0.35">
      <c r="A31" s="13"/>
      <c r="B31" s="13"/>
      <c r="C31" s="13"/>
      <c r="D31" s="13"/>
      <c r="E31" s="13"/>
      <c r="F31" s="12" t="e">
        <f>J23</f>
        <v>#DIV/0!</v>
      </c>
      <c r="G31" s="13" t="e">
        <f>O23</f>
        <v>#DIV/0!</v>
      </c>
      <c r="H31" s="13" t="e">
        <f>P23</f>
        <v>#DIV/0!</v>
      </c>
      <c r="I31" s="13" t="e">
        <f>Q23</f>
        <v>#DIV/0!</v>
      </c>
      <c r="J31" s="14" t="e">
        <f>R23</f>
        <v>#DIV/0!</v>
      </c>
      <c r="K31" s="15"/>
      <c r="L31" s="16" t="s">
        <v>66</v>
      </c>
      <c r="M31" s="15"/>
      <c r="N31" s="16" t="e">
        <f>Y23</f>
        <v>#DIV/0!</v>
      </c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 ht="15.6" x14ac:dyDescent="0.35">
      <c r="A32" s="6"/>
      <c r="B32" s="6"/>
      <c r="C32" s="6"/>
      <c r="D32" s="6"/>
      <c r="E32" s="6"/>
      <c r="F32" s="7" t="e">
        <f>O23</f>
        <v>#DIV/0!</v>
      </c>
      <c r="G32" s="6" t="e">
        <f>K23</f>
        <v>#DIV/0!</v>
      </c>
      <c r="H32" s="6" t="e">
        <f>S23</f>
        <v>#DIV/0!</v>
      </c>
      <c r="I32" s="6" t="e">
        <f>T23</f>
        <v>#DIV/0!</v>
      </c>
      <c r="J32" s="14" t="e">
        <f>U23</f>
        <v>#DIV/0!</v>
      </c>
      <c r="K32" s="15"/>
      <c r="L32" s="16" t="s">
        <v>67</v>
      </c>
      <c r="M32" s="15"/>
      <c r="N32" s="16" t="e">
        <f>Z23</f>
        <v>#DIV/0!</v>
      </c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 ht="15.6" x14ac:dyDescent="0.35">
      <c r="A33" s="6"/>
      <c r="B33" s="6"/>
      <c r="C33" s="6"/>
      <c r="D33" s="6"/>
      <c r="E33" s="6" t="s">
        <v>20</v>
      </c>
      <c r="F33" s="7" t="e">
        <f>P23</f>
        <v>#DIV/0!</v>
      </c>
      <c r="G33" s="6" t="e">
        <f>S23</f>
        <v>#DIV/0!</v>
      </c>
      <c r="H33" s="6" t="e">
        <f>L23</f>
        <v>#DIV/0!</v>
      </c>
      <c r="I33" s="6" t="e">
        <f>V23</f>
        <v>#DIV/0!</v>
      </c>
      <c r="J33" s="14" t="e">
        <f>W23</f>
        <v>#DIV/0!</v>
      </c>
      <c r="K33" s="17" t="s">
        <v>15</v>
      </c>
      <c r="L33" s="16" t="s">
        <v>68</v>
      </c>
      <c r="M33" s="17" t="s">
        <v>21</v>
      </c>
      <c r="N33" s="16" t="e">
        <f>AA23</f>
        <v>#DIV/0!</v>
      </c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ht="15.6" x14ac:dyDescent="0.35">
      <c r="A34" s="6"/>
      <c r="B34" s="6"/>
      <c r="C34" s="6"/>
      <c r="D34" s="6"/>
      <c r="E34" s="6"/>
      <c r="F34" s="7" t="e">
        <f>Q23</f>
        <v>#DIV/0!</v>
      </c>
      <c r="G34" s="6" t="e">
        <f>T23</f>
        <v>#DIV/0!</v>
      </c>
      <c r="H34" s="6" t="e">
        <f>V23</f>
        <v>#DIV/0!</v>
      </c>
      <c r="I34" s="6" t="e">
        <f>M23</f>
        <v>#DIV/0!</v>
      </c>
      <c r="J34" s="14" t="e">
        <f>X23</f>
        <v>#DIV/0!</v>
      </c>
      <c r="K34" s="15"/>
      <c r="L34" s="16" t="s">
        <v>69</v>
      </c>
      <c r="M34" s="15"/>
      <c r="N34" s="16" t="e">
        <f>AB23</f>
        <v>#DIV/0!</v>
      </c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 ht="15.6" x14ac:dyDescent="0.35">
      <c r="A35" s="6"/>
      <c r="B35" s="6"/>
      <c r="C35" s="6"/>
      <c r="D35" s="6"/>
      <c r="E35" s="6"/>
      <c r="F35" s="7" t="e">
        <f>R23</f>
        <v>#DIV/0!</v>
      </c>
      <c r="G35" s="6" t="e">
        <f>U23</f>
        <v>#DIV/0!</v>
      </c>
      <c r="H35" s="6" t="e">
        <f>W23</f>
        <v>#DIV/0!</v>
      </c>
      <c r="I35" s="6" t="e">
        <f>X23</f>
        <v>#DIV/0!</v>
      </c>
      <c r="J35" s="14">
        <f>N23</f>
        <v>5</v>
      </c>
      <c r="K35" s="15"/>
      <c r="L35" s="16" t="s">
        <v>70</v>
      </c>
      <c r="M35" s="15"/>
      <c r="N35" s="16" t="e">
        <f>AC23</f>
        <v>#DIV/0!</v>
      </c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 x14ac:dyDescent="0.25">
      <c r="A36" s="6"/>
      <c r="B36" s="6"/>
      <c r="C36" s="6"/>
      <c r="D36" s="6"/>
      <c r="E36" s="6"/>
      <c r="F36" s="6"/>
      <c r="G36" s="6"/>
      <c r="H36" s="6"/>
      <c r="I36" s="6"/>
      <c r="J36" s="15"/>
      <c r="K36" s="15"/>
      <c r="L36" s="15"/>
      <c r="M36" s="15"/>
      <c r="N36" s="15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 x14ac:dyDescent="0.25">
      <c r="A37" s="6"/>
      <c r="B37" s="6"/>
      <c r="C37" s="6"/>
      <c r="D37" s="6"/>
      <c r="E37" s="6"/>
      <c r="F37" s="7" t="e">
        <f>N31</f>
        <v>#DIV/0!</v>
      </c>
      <c r="G37" s="6" t="e">
        <f t="shared" ref="G37:J41" si="2">G31</f>
        <v>#DIV/0!</v>
      </c>
      <c r="H37" s="6" t="e">
        <f t="shared" si="2"/>
        <v>#DIV/0!</v>
      </c>
      <c r="I37" s="6" t="e">
        <f t="shared" si="2"/>
        <v>#DIV/0!</v>
      </c>
      <c r="J37" s="14" t="e">
        <f t="shared" si="2"/>
        <v>#DIV/0!</v>
      </c>
      <c r="K37" s="15"/>
      <c r="L37" s="15"/>
      <c r="M37" s="15"/>
      <c r="N37" s="15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 x14ac:dyDescent="0.25">
      <c r="A38" s="6"/>
      <c r="B38" s="6"/>
      <c r="C38" s="6"/>
      <c r="D38" s="6"/>
      <c r="E38" s="6"/>
      <c r="F38" s="7" t="e">
        <f>N32</f>
        <v>#DIV/0!</v>
      </c>
      <c r="G38" s="6" t="e">
        <f t="shared" si="2"/>
        <v>#DIV/0!</v>
      </c>
      <c r="H38" s="6" t="e">
        <f t="shared" si="2"/>
        <v>#DIV/0!</v>
      </c>
      <c r="I38" s="6" t="e">
        <f t="shared" si="2"/>
        <v>#DIV/0!</v>
      </c>
      <c r="J38" s="14" t="e">
        <f t="shared" si="2"/>
        <v>#DIV/0!</v>
      </c>
      <c r="K38" s="15"/>
      <c r="L38" s="15"/>
      <c r="M38" s="15"/>
      <c r="N38" s="15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 x14ac:dyDescent="0.25">
      <c r="A39" s="6"/>
      <c r="B39" s="6"/>
      <c r="C39" s="6"/>
      <c r="D39" s="6"/>
      <c r="E39" s="6" t="s">
        <v>22</v>
      </c>
      <c r="F39" s="7" t="e">
        <f>N33</f>
        <v>#DIV/0!</v>
      </c>
      <c r="G39" s="6" t="e">
        <f t="shared" si="2"/>
        <v>#DIV/0!</v>
      </c>
      <c r="H39" s="6" t="e">
        <f t="shared" si="2"/>
        <v>#DIV/0!</v>
      </c>
      <c r="I39" s="6" t="e">
        <f t="shared" si="2"/>
        <v>#DIV/0!</v>
      </c>
      <c r="J39" s="14" t="e">
        <f t="shared" si="2"/>
        <v>#DIV/0!</v>
      </c>
      <c r="K39" s="15"/>
      <c r="L39" s="15"/>
      <c r="M39" s="15"/>
      <c r="N39" s="15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</row>
    <row r="40" spans="1:36" x14ac:dyDescent="0.25">
      <c r="A40" s="6"/>
      <c r="B40" s="6"/>
      <c r="C40" s="6"/>
      <c r="D40" s="6"/>
      <c r="E40" s="6"/>
      <c r="F40" s="7" t="e">
        <f>N34</f>
        <v>#DIV/0!</v>
      </c>
      <c r="G40" s="6" t="e">
        <f t="shared" si="2"/>
        <v>#DIV/0!</v>
      </c>
      <c r="H40" s="6" t="e">
        <f t="shared" si="2"/>
        <v>#DIV/0!</v>
      </c>
      <c r="I40" s="6" t="e">
        <f t="shared" si="2"/>
        <v>#DIV/0!</v>
      </c>
      <c r="J40" s="14" t="e">
        <f t="shared" si="2"/>
        <v>#DIV/0!</v>
      </c>
      <c r="K40" s="15"/>
      <c r="L40" s="15"/>
      <c r="M40" s="15"/>
      <c r="N40" s="15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x14ac:dyDescent="0.25">
      <c r="A41" s="6"/>
      <c r="B41" s="6"/>
      <c r="C41" s="6"/>
      <c r="D41" s="6"/>
      <c r="E41" s="6"/>
      <c r="F41" s="7" t="e">
        <f>N35</f>
        <v>#DIV/0!</v>
      </c>
      <c r="G41" s="6" t="e">
        <f t="shared" si="2"/>
        <v>#DIV/0!</v>
      </c>
      <c r="H41" s="6" t="e">
        <f t="shared" si="2"/>
        <v>#DIV/0!</v>
      </c>
      <c r="I41" s="6" t="e">
        <f t="shared" si="2"/>
        <v>#DIV/0!</v>
      </c>
      <c r="J41" s="14">
        <f t="shared" si="2"/>
        <v>5</v>
      </c>
      <c r="K41" s="15"/>
      <c r="L41" s="15"/>
      <c r="M41" s="15"/>
      <c r="N41" s="15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x14ac:dyDescent="0.25">
      <c r="A42" s="6"/>
      <c r="B42" s="6"/>
      <c r="C42" s="6"/>
      <c r="D42" s="6"/>
      <c r="E42" s="6"/>
      <c r="F42" s="6"/>
      <c r="G42" s="6"/>
      <c r="H42" s="6"/>
      <c r="I42" s="6"/>
      <c r="J42" s="15"/>
      <c r="K42" s="15"/>
      <c r="L42" s="15"/>
      <c r="M42" s="15"/>
      <c r="N42" s="1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 x14ac:dyDescent="0.25">
      <c r="A43" s="6"/>
      <c r="B43" s="6"/>
      <c r="C43" s="6"/>
      <c r="D43" s="6"/>
      <c r="E43" s="6"/>
      <c r="F43" s="7" t="e">
        <f>F31</f>
        <v>#DIV/0!</v>
      </c>
      <c r="G43" s="6" t="e">
        <f>N31</f>
        <v>#DIV/0!</v>
      </c>
      <c r="H43" s="6" t="e">
        <f t="shared" ref="H43:J47" si="3">H31</f>
        <v>#DIV/0!</v>
      </c>
      <c r="I43" s="6" t="e">
        <f t="shared" si="3"/>
        <v>#DIV/0!</v>
      </c>
      <c r="J43" s="14" t="e">
        <f t="shared" si="3"/>
        <v>#DIV/0!</v>
      </c>
      <c r="K43" s="15"/>
      <c r="L43" s="15"/>
      <c r="M43" s="15"/>
      <c r="N43" s="15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 x14ac:dyDescent="0.25">
      <c r="A44" s="6"/>
      <c r="B44" s="6"/>
      <c r="C44" s="6"/>
      <c r="D44" s="6"/>
      <c r="E44" s="6"/>
      <c r="F44" s="7" t="e">
        <f>F32</f>
        <v>#DIV/0!</v>
      </c>
      <c r="G44" s="6" t="e">
        <f>N32</f>
        <v>#DIV/0!</v>
      </c>
      <c r="H44" s="6" t="e">
        <f t="shared" si="3"/>
        <v>#DIV/0!</v>
      </c>
      <c r="I44" s="6" t="e">
        <f t="shared" si="3"/>
        <v>#DIV/0!</v>
      </c>
      <c r="J44" s="14" t="e">
        <f t="shared" si="3"/>
        <v>#DIV/0!</v>
      </c>
      <c r="K44" s="15"/>
      <c r="L44" s="15"/>
      <c r="M44" s="15"/>
      <c r="N44" s="15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 x14ac:dyDescent="0.25">
      <c r="A45" s="6"/>
      <c r="B45" s="6"/>
      <c r="C45" s="6"/>
      <c r="D45" s="6"/>
      <c r="E45" s="6" t="s">
        <v>23</v>
      </c>
      <c r="F45" s="7" t="e">
        <f>F33</f>
        <v>#DIV/0!</v>
      </c>
      <c r="G45" s="6" t="e">
        <f>N33</f>
        <v>#DIV/0!</v>
      </c>
      <c r="H45" s="6" t="e">
        <f t="shared" si="3"/>
        <v>#DIV/0!</v>
      </c>
      <c r="I45" s="6" t="e">
        <f t="shared" si="3"/>
        <v>#DIV/0!</v>
      </c>
      <c r="J45" s="14" t="e">
        <f t="shared" si="3"/>
        <v>#DIV/0!</v>
      </c>
      <c r="K45" s="15"/>
      <c r="L45" s="15"/>
      <c r="M45" s="15"/>
      <c r="N45" s="15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 x14ac:dyDescent="0.25">
      <c r="A46" s="6"/>
      <c r="B46" s="6"/>
      <c r="C46" s="6"/>
      <c r="D46" s="6"/>
      <c r="E46" s="6"/>
      <c r="F46" s="7" t="e">
        <f>F34</f>
        <v>#DIV/0!</v>
      </c>
      <c r="G46" s="6" t="e">
        <f>N34</f>
        <v>#DIV/0!</v>
      </c>
      <c r="H46" s="6" t="e">
        <f t="shared" si="3"/>
        <v>#DIV/0!</v>
      </c>
      <c r="I46" s="6" t="e">
        <f t="shared" si="3"/>
        <v>#DIV/0!</v>
      </c>
      <c r="J46" s="14" t="e">
        <f t="shared" si="3"/>
        <v>#DIV/0!</v>
      </c>
      <c r="K46" s="15"/>
      <c r="L46" s="15"/>
      <c r="M46" s="15"/>
      <c r="N46" s="15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 x14ac:dyDescent="0.25">
      <c r="A47" s="6"/>
      <c r="B47" s="6"/>
      <c r="C47" s="6"/>
      <c r="D47" s="6"/>
      <c r="E47" s="6"/>
      <c r="F47" s="7" t="e">
        <f>F35</f>
        <v>#DIV/0!</v>
      </c>
      <c r="G47" s="6" t="e">
        <f>N35</f>
        <v>#DIV/0!</v>
      </c>
      <c r="H47" s="6" t="e">
        <f t="shared" si="3"/>
        <v>#DIV/0!</v>
      </c>
      <c r="I47" s="6" t="e">
        <f t="shared" si="3"/>
        <v>#DIV/0!</v>
      </c>
      <c r="J47" s="14">
        <f t="shared" si="3"/>
        <v>5</v>
      </c>
      <c r="K47" s="15"/>
      <c r="L47" s="15"/>
      <c r="M47" s="15"/>
      <c r="N47" s="15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 x14ac:dyDescent="0.25">
      <c r="A48" s="6"/>
      <c r="B48" s="6"/>
      <c r="C48" s="6"/>
      <c r="D48" s="6"/>
      <c r="E48" s="6"/>
      <c r="F48" s="6"/>
      <c r="G48" s="6"/>
      <c r="H48" s="6"/>
      <c r="I48" s="6"/>
      <c r="J48" s="15"/>
      <c r="K48" s="15"/>
      <c r="L48" s="15"/>
      <c r="M48" s="15"/>
      <c r="N48" s="15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 x14ac:dyDescent="0.25">
      <c r="A49" s="6"/>
      <c r="B49" s="6"/>
      <c r="C49" s="6"/>
      <c r="D49" s="6"/>
      <c r="E49" s="6"/>
      <c r="F49" s="7" t="e">
        <f t="shared" ref="F49:G53" si="4">F31</f>
        <v>#DIV/0!</v>
      </c>
      <c r="G49" s="6" t="e">
        <f t="shared" si="4"/>
        <v>#DIV/0!</v>
      </c>
      <c r="H49" s="6" t="e">
        <f>N31</f>
        <v>#DIV/0!</v>
      </c>
      <c r="I49" s="6" t="e">
        <f t="shared" ref="I49:J53" si="5">I31</f>
        <v>#DIV/0!</v>
      </c>
      <c r="J49" s="14" t="e">
        <f t="shared" si="5"/>
        <v>#DIV/0!</v>
      </c>
      <c r="K49" s="15"/>
      <c r="L49" s="15"/>
      <c r="M49" s="15"/>
      <c r="N49" s="15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 x14ac:dyDescent="0.25">
      <c r="A50" s="6"/>
      <c r="B50" s="6"/>
      <c r="C50" s="6"/>
      <c r="D50" s="6"/>
      <c r="E50" s="6"/>
      <c r="F50" s="7" t="e">
        <f t="shared" si="4"/>
        <v>#DIV/0!</v>
      </c>
      <c r="G50" s="6" t="e">
        <f t="shared" si="4"/>
        <v>#DIV/0!</v>
      </c>
      <c r="H50" s="6" t="e">
        <f>N32</f>
        <v>#DIV/0!</v>
      </c>
      <c r="I50" s="6" t="e">
        <f t="shared" si="5"/>
        <v>#DIV/0!</v>
      </c>
      <c r="J50" s="14" t="e">
        <f t="shared" si="5"/>
        <v>#DIV/0!</v>
      </c>
      <c r="K50" s="15"/>
      <c r="L50" s="15"/>
      <c r="M50" s="15"/>
      <c r="N50" s="15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 x14ac:dyDescent="0.25">
      <c r="A51" s="6"/>
      <c r="B51" s="6"/>
      <c r="C51" s="6"/>
      <c r="D51" s="6"/>
      <c r="E51" s="6" t="s">
        <v>24</v>
      </c>
      <c r="F51" s="7" t="e">
        <f t="shared" si="4"/>
        <v>#DIV/0!</v>
      </c>
      <c r="G51" s="6" t="e">
        <f t="shared" si="4"/>
        <v>#DIV/0!</v>
      </c>
      <c r="H51" s="6" t="e">
        <f>N33</f>
        <v>#DIV/0!</v>
      </c>
      <c r="I51" s="6" t="e">
        <f t="shared" si="5"/>
        <v>#DIV/0!</v>
      </c>
      <c r="J51" s="14" t="e">
        <f t="shared" si="5"/>
        <v>#DIV/0!</v>
      </c>
      <c r="K51" s="15"/>
      <c r="L51" s="15"/>
      <c r="M51" s="15"/>
      <c r="N51" s="15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</row>
    <row r="52" spans="1:36" x14ac:dyDescent="0.25">
      <c r="A52" s="6"/>
      <c r="B52" s="6"/>
      <c r="C52" s="6"/>
      <c r="D52" s="6"/>
      <c r="E52" s="6"/>
      <c r="F52" s="7" t="e">
        <f t="shared" si="4"/>
        <v>#DIV/0!</v>
      </c>
      <c r="G52" s="6" t="e">
        <f t="shared" si="4"/>
        <v>#DIV/0!</v>
      </c>
      <c r="H52" s="6" t="e">
        <f>N34</f>
        <v>#DIV/0!</v>
      </c>
      <c r="I52" s="6" t="e">
        <f t="shared" si="5"/>
        <v>#DIV/0!</v>
      </c>
      <c r="J52" s="14" t="e">
        <f t="shared" si="5"/>
        <v>#DIV/0!</v>
      </c>
      <c r="K52" s="15"/>
      <c r="L52" s="15"/>
      <c r="M52" s="15"/>
      <c r="N52" s="15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 x14ac:dyDescent="0.25">
      <c r="A53" s="6"/>
      <c r="B53" s="6"/>
      <c r="C53" s="6"/>
      <c r="D53" s="6"/>
      <c r="E53" s="6"/>
      <c r="F53" s="7" t="e">
        <f t="shared" si="4"/>
        <v>#DIV/0!</v>
      </c>
      <c r="G53" s="6" t="e">
        <f t="shared" si="4"/>
        <v>#DIV/0!</v>
      </c>
      <c r="H53" s="6" t="e">
        <f>N35</f>
        <v>#DIV/0!</v>
      </c>
      <c r="I53" s="6" t="e">
        <f t="shared" si="5"/>
        <v>#DIV/0!</v>
      </c>
      <c r="J53" s="14">
        <f t="shared" si="5"/>
        <v>5</v>
      </c>
      <c r="K53" s="15"/>
      <c r="L53" s="15"/>
      <c r="M53" s="15"/>
      <c r="N53" s="15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 x14ac:dyDescent="0.25">
      <c r="A54" s="6"/>
      <c r="B54" s="6"/>
      <c r="C54" s="6"/>
      <c r="D54" s="6"/>
      <c r="E54" s="6"/>
      <c r="F54" s="6"/>
      <c r="G54" s="6"/>
      <c r="H54" s="6"/>
      <c r="I54" s="6"/>
      <c r="J54" s="15"/>
      <c r="K54" s="15"/>
      <c r="L54" s="15"/>
      <c r="M54" s="15"/>
      <c r="N54" s="15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 x14ac:dyDescent="0.25">
      <c r="A55" s="6"/>
      <c r="B55" s="6"/>
      <c r="C55" s="6"/>
      <c r="D55" s="6"/>
      <c r="E55" s="6"/>
      <c r="F55" s="7" t="e">
        <f t="shared" ref="F55:H59" si="6">F31</f>
        <v>#DIV/0!</v>
      </c>
      <c r="G55" s="6" t="e">
        <f t="shared" si="6"/>
        <v>#DIV/0!</v>
      </c>
      <c r="H55" s="6" t="e">
        <f t="shared" si="6"/>
        <v>#DIV/0!</v>
      </c>
      <c r="I55" s="6" t="e">
        <f>N31</f>
        <v>#DIV/0!</v>
      </c>
      <c r="J55" s="14" t="e">
        <f>J31</f>
        <v>#DIV/0!</v>
      </c>
      <c r="K55" s="15"/>
      <c r="L55" s="15"/>
      <c r="M55" s="15"/>
      <c r="N55" s="15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 x14ac:dyDescent="0.25">
      <c r="A56" s="6"/>
      <c r="B56" s="6"/>
      <c r="C56" s="6"/>
      <c r="D56" s="6"/>
      <c r="E56" s="6"/>
      <c r="F56" s="7" t="e">
        <f t="shared" si="6"/>
        <v>#DIV/0!</v>
      </c>
      <c r="G56" s="6" t="e">
        <f t="shared" si="6"/>
        <v>#DIV/0!</v>
      </c>
      <c r="H56" s="6" t="e">
        <f t="shared" si="6"/>
        <v>#DIV/0!</v>
      </c>
      <c r="I56" s="6" t="e">
        <f>N32</f>
        <v>#DIV/0!</v>
      </c>
      <c r="J56" s="14" t="e">
        <f>J32</f>
        <v>#DIV/0!</v>
      </c>
      <c r="K56" s="15"/>
      <c r="L56" s="15"/>
      <c r="M56" s="15"/>
      <c r="N56" s="15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 x14ac:dyDescent="0.25">
      <c r="A57" s="6"/>
      <c r="B57" s="6"/>
      <c r="C57" s="6"/>
      <c r="D57" s="6"/>
      <c r="E57" s="6" t="s">
        <v>25</v>
      </c>
      <c r="F57" s="7" t="e">
        <f t="shared" si="6"/>
        <v>#DIV/0!</v>
      </c>
      <c r="G57" s="6" t="e">
        <f t="shared" si="6"/>
        <v>#DIV/0!</v>
      </c>
      <c r="H57" s="6" t="e">
        <f t="shared" si="6"/>
        <v>#DIV/0!</v>
      </c>
      <c r="I57" s="6" t="e">
        <f>N33</f>
        <v>#DIV/0!</v>
      </c>
      <c r="J57" s="14" t="e">
        <f>J33</f>
        <v>#DIV/0!</v>
      </c>
      <c r="K57" s="15"/>
      <c r="L57" s="15"/>
      <c r="M57" s="15"/>
      <c r="N57" s="15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 x14ac:dyDescent="0.25">
      <c r="A58" s="6"/>
      <c r="B58" s="6"/>
      <c r="C58" s="6"/>
      <c r="D58" s="6"/>
      <c r="E58" s="6"/>
      <c r="F58" s="7" t="e">
        <f t="shared" si="6"/>
        <v>#DIV/0!</v>
      </c>
      <c r="G58" s="6" t="e">
        <f t="shared" si="6"/>
        <v>#DIV/0!</v>
      </c>
      <c r="H58" s="6" t="e">
        <f t="shared" si="6"/>
        <v>#DIV/0!</v>
      </c>
      <c r="I58" s="6" t="e">
        <f>N34</f>
        <v>#DIV/0!</v>
      </c>
      <c r="J58" s="14" t="e">
        <f>J34</f>
        <v>#DIV/0!</v>
      </c>
      <c r="K58" s="15"/>
      <c r="L58" s="15"/>
      <c r="M58" s="15"/>
      <c r="N58" s="15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 x14ac:dyDescent="0.25">
      <c r="A59" s="6"/>
      <c r="B59" s="6"/>
      <c r="C59" s="6"/>
      <c r="D59" s="6"/>
      <c r="E59" s="6"/>
      <c r="F59" s="7" t="e">
        <f t="shared" si="6"/>
        <v>#DIV/0!</v>
      </c>
      <c r="G59" s="6" t="e">
        <f t="shared" si="6"/>
        <v>#DIV/0!</v>
      </c>
      <c r="H59" s="6" t="e">
        <f t="shared" si="6"/>
        <v>#DIV/0!</v>
      </c>
      <c r="I59" s="6" t="e">
        <f>N35</f>
        <v>#DIV/0!</v>
      </c>
      <c r="J59" s="14">
        <f>J35</f>
        <v>5</v>
      </c>
      <c r="K59" s="15"/>
      <c r="L59" s="15"/>
      <c r="M59" s="15"/>
      <c r="N59" s="15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 x14ac:dyDescent="0.25">
      <c r="A60" s="6"/>
      <c r="B60" s="6"/>
      <c r="C60" s="6"/>
      <c r="D60" s="6"/>
      <c r="E60" s="6"/>
      <c r="F60" s="6"/>
      <c r="G60" s="6"/>
      <c r="H60" s="6"/>
      <c r="I60" s="6"/>
      <c r="J60" s="15"/>
      <c r="K60" s="15"/>
      <c r="L60" s="15"/>
      <c r="M60" s="15"/>
      <c r="N60" s="15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 x14ac:dyDescent="0.25">
      <c r="A61" s="6"/>
      <c r="B61" s="6"/>
      <c r="C61" s="6"/>
      <c r="D61" s="6"/>
      <c r="E61" s="6"/>
      <c r="F61" s="7" t="e">
        <f t="shared" ref="F61:I65" si="7">F31</f>
        <v>#DIV/0!</v>
      </c>
      <c r="G61" s="6" t="e">
        <f t="shared" si="7"/>
        <v>#DIV/0!</v>
      </c>
      <c r="H61" s="6" t="e">
        <f t="shared" si="7"/>
        <v>#DIV/0!</v>
      </c>
      <c r="I61" s="6" t="e">
        <f t="shared" si="7"/>
        <v>#DIV/0!</v>
      </c>
      <c r="J61" s="14" t="e">
        <f>N31</f>
        <v>#DIV/0!</v>
      </c>
      <c r="K61" s="15"/>
      <c r="L61" s="15"/>
      <c r="M61" s="15"/>
      <c r="N61" s="15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 x14ac:dyDescent="0.25">
      <c r="A62" s="6"/>
      <c r="B62" s="6"/>
      <c r="C62" s="6"/>
      <c r="D62" s="6"/>
      <c r="E62" s="6"/>
      <c r="F62" s="7" t="e">
        <f t="shared" si="7"/>
        <v>#DIV/0!</v>
      </c>
      <c r="G62" s="6" t="e">
        <f t="shared" si="7"/>
        <v>#DIV/0!</v>
      </c>
      <c r="H62" s="6" t="e">
        <f t="shared" si="7"/>
        <v>#DIV/0!</v>
      </c>
      <c r="I62" s="6" t="e">
        <f t="shared" si="7"/>
        <v>#DIV/0!</v>
      </c>
      <c r="J62" s="14" t="e">
        <f>N32</f>
        <v>#DIV/0!</v>
      </c>
      <c r="K62" s="15"/>
      <c r="L62" s="15"/>
      <c r="M62" s="15"/>
      <c r="N62" s="15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 x14ac:dyDescent="0.25">
      <c r="A63" s="6"/>
      <c r="B63" s="6"/>
      <c r="C63" s="6"/>
      <c r="D63" s="6"/>
      <c r="E63" s="6" t="s">
        <v>26</v>
      </c>
      <c r="F63" s="7" t="e">
        <f t="shared" si="7"/>
        <v>#DIV/0!</v>
      </c>
      <c r="G63" s="6" t="e">
        <f t="shared" si="7"/>
        <v>#DIV/0!</v>
      </c>
      <c r="H63" s="6" t="e">
        <f t="shared" si="7"/>
        <v>#DIV/0!</v>
      </c>
      <c r="I63" s="6" t="e">
        <f t="shared" si="7"/>
        <v>#DIV/0!</v>
      </c>
      <c r="J63" s="14" t="e">
        <f>N33</f>
        <v>#DIV/0!</v>
      </c>
      <c r="K63" s="15"/>
      <c r="L63" s="15"/>
      <c r="M63" s="15"/>
      <c r="N63" s="15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</row>
    <row r="64" spans="1:36" x14ac:dyDescent="0.25">
      <c r="A64" s="6"/>
      <c r="B64" s="6"/>
      <c r="C64" s="6"/>
      <c r="D64" s="6"/>
      <c r="E64" s="6"/>
      <c r="F64" s="7" t="e">
        <f t="shared" si="7"/>
        <v>#DIV/0!</v>
      </c>
      <c r="G64" s="6" t="e">
        <f t="shared" si="7"/>
        <v>#DIV/0!</v>
      </c>
      <c r="H64" s="6" t="e">
        <f t="shared" si="7"/>
        <v>#DIV/0!</v>
      </c>
      <c r="I64" s="6" t="e">
        <f t="shared" si="7"/>
        <v>#DIV/0!</v>
      </c>
      <c r="J64" s="14" t="e">
        <f>N34</f>
        <v>#DIV/0!</v>
      </c>
      <c r="K64" s="15"/>
      <c r="L64" s="15"/>
      <c r="M64" s="15"/>
      <c r="N64" s="15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</row>
    <row r="65" spans="1:36" x14ac:dyDescent="0.25">
      <c r="A65" s="6"/>
      <c r="B65" s="6"/>
      <c r="C65" s="6"/>
      <c r="D65" s="6"/>
      <c r="E65" s="6"/>
      <c r="F65" s="7" t="e">
        <f t="shared" si="7"/>
        <v>#DIV/0!</v>
      </c>
      <c r="G65" s="6" t="e">
        <f t="shared" si="7"/>
        <v>#DIV/0!</v>
      </c>
      <c r="H65" s="6" t="e">
        <f t="shared" si="7"/>
        <v>#DIV/0!</v>
      </c>
      <c r="I65" s="6" t="e">
        <f t="shared" si="7"/>
        <v>#DIV/0!</v>
      </c>
      <c r="J65" s="14" t="e">
        <f>N35</f>
        <v>#DIV/0!</v>
      </c>
      <c r="K65" s="15"/>
      <c r="L65" s="15"/>
      <c r="M65" s="15"/>
      <c r="N65" s="15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</row>
    <row r="66" spans="1:36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</row>
    <row r="67" spans="1:36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</row>
    <row r="68" spans="1:36" x14ac:dyDescent="0.25">
      <c r="A68" s="6"/>
      <c r="B68" s="6"/>
      <c r="C68" s="6"/>
      <c r="D68" s="6"/>
      <c r="E68" s="28" t="s">
        <v>27</v>
      </c>
      <c r="F68" s="6" t="e">
        <f>MDETERM(F31:J35)</f>
        <v>#DIV/0!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</row>
    <row r="69" spans="1:36" x14ac:dyDescent="0.25">
      <c r="A69" s="6"/>
      <c r="B69" s="6"/>
      <c r="C69" s="6"/>
      <c r="D69" s="6"/>
      <c r="E69" s="28" t="s">
        <v>28</v>
      </c>
      <c r="F69" s="6" t="e">
        <f>MDETERM(F37:J41)</f>
        <v>#DIV/0!</v>
      </c>
      <c r="G69" s="6"/>
      <c r="H69" s="22" t="s">
        <v>29</v>
      </c>
      <c r="I69" s="15" t="e">
        <f>F69/F68</f>
        <v>#DIV/0!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</row>
    <row r="70" spans="1:36" x14ac:dyDescent="0.25">
      <c r="A70" s="6"/>
      <c r="B70" s="6"/>
      <c r="C70" s="6"/>
      <c r="D70" s="6"/>
      <c r="E70" s="28" t="s">
        <v>30</v>
      </c>
      <c r="F70" s="6" t="e">
        <f>MDETERM(F43:J47)</f>
        <v>#DIV/0!</v>
      </c>
      <c r="G70" s="6"/>
      <c r="H70" s="22" t="s">
        <v>31</v>
      </c>
      <c r="I70" s="15" t="e">
        <f>F70/F68</f>
        <v>#DIV/0!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</row>
    <row r="71" spans="1:36" x14ac:dyDescent="0.25">
      <c r="A71" s="6"/>
      <c r="B71" s="6"/>
      <c r="C71" s="6"/>
      <c r="D71" s="6"/>
      <c r="E71" s="28" t="s">
        <v>32</v>
      </c>
      <c r="F71" s="6" t="e">
        <f>MDETERM(F49:J53)</f>
        <v>#DIV/0!</v>
      </c>
      <c r="G71" s="6"/>
      <c r="H71" s="22" t="s">
        <v>33</v>
      </c>
      <c r="I71" s="15" t="e">
        <f>F71/F68</f>
        <v>#DIV/0!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</row>
    <row r="72" spans="1:36" x14ac:dyDescent="0.25">
      <c r="A72" s="6"/>
      <c r="B72" s="6"/>
      <c r="C72" s="6"/>
      <c r="D72" s="6"/>
      <c r="E72" s="28" t="s">
        <v>34</v>
      </c>
      <c r="F72" s="6" t="e">
        <f>MDETERM(F55:J59)</f>
        <v>#DIV/0!</v>
      </c>
      <c r="G72" s="6"/>
      <c r="H72" s="22" t="s">
        <v>35</v>
      </c>
      <c r="I72" s="15" t="e">
        <f>F72/F68</f>
        <v>#DIV/0!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</row>
    <row r="73" spans="1:36" x14ac:dyDescent="0.25">
      <c r="A73" s="6"/>
      <c r="B73" s="6"/>
      <c r="C73" s="6"/>
      <c r="D73" s="6"/>
      <c r="E73" s="28" t="s">
        <v>36</v>
      </c>
      <c r="F73" s="6" t="e">
        <f>MDETERM(F61:J65)</f>
        <v>#DIV/0!</v>
      </c>
      <c r="G73" s="6"/>
      <c r="H73" s="22" t="s">
        <v>37</v>
      </c>
      <c r="I73" s="15" t="e">
        <f>F73/F68</f>
        <v>#DIV/0!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</row>
    <row r="74" spans="1:36" x14ac:dyDescent="0.25">
      <c r="A74" s="6"/>
      <c r="B74" s="6"/>
      <c r="C74" s="6"/>
      <c r="D74" s="6"/>
      <c r="E74" s="28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</row>
    <row r="75" spans="1:36" x14ac:dyDescent="0.25">
      <c r="A75" s="6"/>
      <c r="B75" s="6"/>
      <c r="C75" s="6"/>
      <c r="D75" s="6"/>
      <c r="E75" s="28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</row>
    <row r="76" spans="1:36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</row>
    <row r="77" spans="1:36" x14ac:dyDescent="0.25">
      <c r="A77" s="6"/>
      <c r="B77" s="6"/>
      <c r="C77" s="3" t="s">
        <v>38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</row>
    <row r="78" spans="1:36" x14ac:dyDescent="0.25">
      <c r="A78" s="6"/>
      <c r="B78" s="6"/>
      <c r="C78" s="3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</row>
    <row r="79" spans="1:36" ht="15.6" x14ac:dyDescent="0.25">
      <c r="A79" s="6"/>
      <c r="B79" s="6"/>
      <c r="C79" s="6"/>
      <c r="D79" s="2" t="s">
        <v>39</v>
      </c>
      <c r="E79" s="3" t="e">
        <f>I69</f>
        <v>#DIV/0!</v>
      </c>
      <c r="F79" s="3" t="s">
        <v>40</v>
      </c>
      <c r="G79" s="3" t="e">
        <f>I70</f>
        <v>#DIV/0!</v>
      </c>
      <c r="H79" s="3" t="s">
        <v>41</v>
      </c>
      <c r="I79" s="3" t="e">
        <f>I71</f>
        <v>#DIV/0!</v>
      </c>
      <c r="J79" s="3" t="s">
        <v>42</v>
      </c>
      <c r="K79" s="3" t="e">
        <f>I72</f>
        <v>#DIV/0!</v>
      </c>
      <c r="L79" s="3" t="s">
        <v>43</v>
      </c>
      <c r="M79" s="4" t="e">
        <f>I73</f>
        <v>#DIV/0!</v>
      </c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</row>
    <row r="80" spans="1:36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</row>
    <row r="81" spans="1:36" x14ac:dyDescent="0.25">
      <c r="A81" s="6"/>
      <c r="B81" s="6"/>
      <c r="C81" s="3" t="s">
        <v>44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</row>
    <row r="82" spans="1:36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</row>
    <row r="83" spans="1:36" ht="15.6" x14ac:dyDescent="0.25">
      <c r="A83" s="6"/>
      <c r="B83" s="6"/>
      <c r="C83" s="6"/>
      <c r="D83" s="2" t="s">
        <v>45</v>
      </c>
      <c r="E83" s="3" t="e">
        <f>4*E79</f>
        <v>#DIV/0!</v>
      </c>
      <c r="F83" s="3" t="s">
        <v>41</v>
      </c>
      <c r="G83" s="3" t="e">
        <f>3*G79</f>
        <v>#DIV/0!</v>
      </c>
      <c r="H83" s="3" t="s">
        <v>42</v>
      </c>
      <c r="I83" s="3" t="e">
        <f>2*I79</f>
        <v>#DIV/0!</v>
      </c>
      <c r="J83" s="3" t="s">
        <v>43</v>
      </c>
      <c r="K83" s="3" t="e">
        <f>1*K79</f>
        <v>#DIV/0!</v>
      </c>
      <c r="L83" s="3"/>
      <c r="M83" s="3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</row>
    <row r="84" spans="1:36" x14ac:dyDescent="0.25">
      <c r="A84" s="6"/>
      <c r="B84" s="6"/>
      <c r="C84" s="6"/>
      <c r="D84" s="2"/>
      <c r="E84" s="3"/>
      <c r="F84" s="3"/>
      <c r="G84" s="3"/>
      <c r="H84" s="3"/>
      <c r="I84" s="3"/>
      <c r="J84" s="3"/>
      <c r="K84" s="3"/>
      <c r="L84" s="3"/>
      <c r="M84" s="3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</row>
    <row r="85" spans="1:36" x14ac:dyDescent="0.25">
      <c r="A85" s="6"/>
      <c r="B85" s="6"/>
      <c r="C85" s="6"/>
      <c r="D85" s="2"/>
      <c r="E85" s="3"/>
      <c r="F85" s="3"/>
      <c r="G85" s="3"/>
      <c r="H85" s="3"/>
      <c r="I85" s="3"/>
      <c r="J85" s="3"/>
      <c r="K85" s="3"/>
      <c r="L85" s="3"/>
      <c r="M85" s="3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</row>
    <row r="86" spans="1:36" x14ac:dyDescent="0.25">
      <c r="A86" s="6"/>
      <c r="B86" s="6"/>
      <c r="C86" s="3" t="s">
        <v>46</v>
      </c>
      <c r="D86" s="2"/>
      <c r="E86" s="3"/>
      <c r="F86" s="3"/>
      <c r="G86" s="3"/>
      <c r="H86" s="3"/>
      <c r="I86" s="3"/>
      <c r="J86" s="3"/>
      <c r="K86" s="3"/>
      <c r="L86" s="3"/>
      <c r="M86" s="3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</row>
    <row r="87" spans="1:36" x14ac:dyDescent="0.25">
      <c r="A87" s="6"/>
      <c r="B87" s="6"/>
      <c r="C87" s="3"/>
      <c r="D87" s="2"/>
      <c r="E87" s="3"/>
      <c r="F87" s="3"/>
      <c r="G87" s="3"/>
      <c r="H87" s="3"/>
      <c r="I87" s="3"/>
      <c r="J87" s="3"/>
      <c r="K87" s="3"/>
      <c r="L87" s="3"/>
      <c r="M87" s="3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</row>
    <row r="88" spans="1:36" x14ac:dyDescent="0.25">
      <c r="A88" s="6"/>
      <c r="B88" s="6"/>
      <c r="C88" s="6"/>
      <c r="D88" s="6"/>
      <c r="E88" s="6"/>
      <c r="F88" s="5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</row>
    <row r="89" spans="1:36" x14ac:dyDescent="0.25">
      <c r="A89" s="6"/>
      <c r="B89" s="6"/>
      <c r="C89" s="6"/>
      <c r="D89" s="6"/>
      <c r="E89" s="3" t="s">
        <v>47</v>
      </c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</row>
    <row r="90" spans="1:36" x14ac:dyDescent="0.25">
      <c r="A90" s="6"/>
      <c r="B90" s="6"/>
      <c r="C90" s="6"/>
      <c r="D90" s="6"/>
      <c r="E90" s="3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</row>
    <row r="91" spans="1:36" x14ac:dyDescent="0.25">
      <c r="A91" s="6"/>
      <c r="B91" s="6"/>
      <c r="C91" s="6"/>
      <c r="D91" s="6" t="s">
        <v>48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</row>
    <row r="92" spans="1:36" x14ac:dyDescent="0.25">
      <c r="A92" s="6"/>
      <c r="B92" s="6"/>
      <c r="C92" s="6"/>
      <c r="D92" s="6"/>
      <c r="E92" s="28"/>
      <c r="F92" s="29" t="s">
        <v>49</v>
      </c>
      <c r="G92" s="30" t="s">
        <v>50</v>
      </c>
      <c r="H92" s="6"/>
      <c r="I92" s="31"/>
      <c r="J92" s="31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</row>
    <row r="93" spans="1:36" x14ac:dyDescent="0.25">
      <c r="A93" s="6"/>
      <c r="B93" s="6"/>
      <c r="C93" s="6"/>
      <c r="D93" s="6"/>
      <c r="E93" s="6"/>
      <c r="F93" s="32" t="e">
        <f>E13</f>
        <v>#DIV/0!</v>
      </c>
      <c r="G93" s="33" t="e">
        <f>G13</f>
        <v>#DIV/0!</v>
      </c>
      <c r="H93" s="6"/>
      <c r="I93" s="34"/>
      <c r="J93" s="31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</row>
    <row r="94" spans="1:36" x14ac:dyDescent="0.25">
      <c r="A94" s="6"/>
      <c r="B94" s="31"/>
      <c r="C94" s="31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</row>
    <row r="95" spans="1:36" x14ac:dyDescent="0.25">
      <c r="A95" s="6"/>
      <c r="B95" s="31"/>
      <c r="C95" s="31"/>
      <c r="D95" s="28"/>
      <c r="E95" s="6"/>
      <c r="F95" s="6"/>
      <c r="G95" s="3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</row>
    <row r="96" spans="1:36" x14ac:dyDescent="0.25">
      <c r="A96" s="6"/>
      <c r="B96" s="31"/>
      <c r="C96" s="31"/>
      <c r="D96" s="6"/>
      <c r="E96" s="6"/>
      <c r="F96" s="6"/>
      <c r="G96" s="3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</row>
    <row r="97" spans="1:36" x14ac:dyDescent="0.25">
      <c r="A97" s="6"/>
      <c r="B97" s="31"/>
      <c r="C97" s="31"/>
      <c r="D97" s="35" t="s">
        <v>17</v>
      </c>
      <c r="E97" s="36" t="s">
        <v>49</v>
      </c>
      <c r="F97" s="36" t="s">
        <v>50</v>
      </c>
      <c r="G97" s="36" t="s">
        <v>51</v>
      </c>
      <c r="H97" s="36" t="s">
        <v>52</v>
      </c>
      <c r="I97" s="36" t="s">
        <v>15</v>
      </c>
      <c r="J97" s="36" t="s">
        <v>16</v>
      </c>
      <c r="K97" s="35" t="s">
        <v>53</v>
      </c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</row>
    <row r="98" spans="1:36" x14ac:dyDescent="0.25">
      <c r="A98" s="6"/>
      <c r="B98" s="31"/>
      <c r="C98" s="31"/>
      <c r="D98" s="3">
        <v>0</v>
      </c>
      <c r="E98" s="37" t="e">
        <f>F93</f>
        <v>#DIV/0!</v>
      </c>
      <c r="F98" s="38" t="e">
        <f>G93</f>
        <v>#DIV/0!</v>
      </c>
      <c r="G98" s="39" t="e">
        <f>E83*(E98^3)+G83*(E98^2 )+I83*E98+K83</f>
        <v>#DIV/0!</v>
      </c>
      <c r="H98" s="39" t="e">
        <f t="shared" ref="H98:H128" si="8">$E$83*(F98^3)+$G$83*(F98^2)+$I$83*F98+$K$83</f>
        <v>#DIV/0!</v>
      </c>
      <c r="I98" s="38" t="e">
        <f t="shared" ref="I98:I128" si="9">(E98+F98)/2</f>
        <v>#DIV/0!</v>
      </c>
      <c r="J98" s="39" t="e">
        <f t="shared" ref="J98:J128" si="10">$E$83*(I98^3)+$G$83*(I98^2)+$I$83*I98+$K$83</f>
        <v>#DIV/0!</v>
      </c>
      <c r="K98" s="6" t="e">
        <f t="shared" ref="K98:K128" si="11">F98-E98</f>
        <v>#DIV/0!</v>
      </c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</row>
    <row r="99" spans="1:36" x14ac:dyDescent="0.25">
      <c r="A99" s="6"/>
      <c r="B99" s="6"/>
      <c r="C99" s="6"/>
      <c r="D99" s="3">
        <v>1</v>
      </c>
      <c r="E99" s="7" t="e">
        <f t="shared" ref="E99:E128" si="12">IF(G98*J98&gt;0,I98,E98)</f>
        <v>#DIV/0!</v>
      </c>
      <c r="F99" s="40" t="e">
        <f t="shared" ref="F99:F128" si="13">IF(H98*J98&gt;0,I98,F98)</f>
        <v>#DIV/0!</v>
      </c>
      <c r="G99" s="41" t="e">
        <f t="shared" ref="G99:G128" si="14">$E$83*(E99^3)+$G$83*(E99^2)+$I$83*E99+$K$83</f>
        <v>#DIV/0!</v>
      </c>
      <c r="H99" s="41" t="e">
        <f t="shared" si="8"/>
        <v>#DIV/0!</v>
      </c>
      <c r="I99" s="40" t="e">
        <f t="shared" si="9"/>
        <v>#DIV/0!</v>
      </c>
      <c r="J99" s="41" t="e">
        <f t="shared" si="10"/>
        <v>#DIV/0!</v>
      </c>
      <c r="K99" s="6" t="e">
        <f t="shared" si="11"/>
        <v>#DIV/0!</v>
      </c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</row>
    <row r="100" spans="1:36" x14ac:dyDescent="0.25">
      <c r="A100" s="6"/>
      <c r="B100" s="6"/>
      <c r="C100" s="6"/>
      <c r="D100" s="3">
        <v>2</v>
      </c>
      <c r="E100" s="7" t="e">
        <f t="shared" si="12"/>
        <v>#DIV/0!</v>
      </c>
      <c r="F100" s="40" t="e">
        <f t="shared" si="13"/>
        <v>#DIV/0!</v>
      </c>
      <c r="G100" s="41" t="e">
        <f t="shared" si="14"/>
        <v>#DIV/0!</v>
      </c>
      <c r="H100" s="41" t="e">
        <f t="shared" si="8"/>
        <v>#DIV/0!</v>
      </c>
      <c r="I100" s="40" t="e">
        <f t="shared" si="9"/>
        <v>#DIV/0!</v>
      </c>
      <c r="J100" s="41" t="e">
        <f t="shared" si="10"/>
        <v>#DIV/0!</v>
      </c>
      <c r="K100" s="6" t="e">
        <f t="shared" si="11"/>
        <v>#DIV/0!</v>
      </c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</row>
    <row r="101" spans="1:36" x14ac:dyDescent="0.25">
      <c r="A101" s="6"/>
      <c r="B101" s="6"/>
      <c r="C101" s="6"/>
      <c r="D101" s="3">
        <v>3</v>
      </c>
      <c r="E101" s="7" t="e">
        <f t="shared" si="12"/>
        <v>#DIV/0!</v>
      </c>
      <c r="F101" s="40" t="e">
        <f t="shared" si="13"/>
        <v>#DIV/0!</v>
      </c>
      <c r="G101" s="41" t="e">
        <f t="shared" si="14"/>
        <v>#DIV/0!</v>
      </c>
      <c r="H101" s="41" t="e">
        <f t="shared" si="8"/>
        <v>#DIV/0!</v>
      </c>
      <c r="I101" s="40" t="e">
        <f t="shared" si="9"/>
        <v>#DIV/0!</v>
      </c>
      <c r="J101" s="41" t="e">
        <f t="shared" si="10"/>
        <v>#DIV/0!</v>
      </c>
      <c r="K101" s="6" t="e">
        <f t="shared" si="11"/>
        <v>#DIV/0!</v>
      </c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</row>
    <row r="102" spans="1:36" x14ac:dyDescent="0.25">
      <c r="A102" s="6"/>
      <c r="B102" s="6"/>
      <c r="C102" s="6"/>
      <c r="D102" s="3">
        <v>4</v>
      </c>
      <c r="E102" s="7" t="e">
        <f t="shared" si="12"/>
        <v>#DIV/0!</v>
      </c>
      <c r="F102" s="40" t="e">
        <f t="shared" si="13"/>
        <v>#DIV/0!</v>
      </c>
      <c r="G102" s="41" t="e">
        <f t="shared" si="14"/>
        <v>#DIV/0!</v>
      </c>
      <c r="H102" s="41" t="e">
        <f t="shared" si="8"/>
        <v>#DIV/0!</v>
      </c>
      <c r="I102" s="40" t="e">
        <f t="shared" si="9"/>
        <v>#DIV/0!</v>
      </c>
      <c r="J102" s="41" t="e">
        <f t="shared" si="10"/>
        <v>#DIV/0!</v>
      </c>
      <c r="K102" s="6" t="e">
        <f t="shared" si="11"/>
        <v>#DIV/0!</v>
      </c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</row>
    <row r="103" spans="1:36" x14ac:dyDescent="0.25">
      <c r="A103" s="6"/>
      <c r="B103" s="6"/>
      <c r="C103" s="6"/>
      <c r="D103" s="3">
        <v>5</v>
      </c>
      <c r="E103" s="7" t="e">
        <f t="shared" si="12"/>
        <v>#DIV/0!</v>
      </c>
      <c r="F103" s="40" t="e">
        <f t="shared" si="13"/>
        <v>#DIV/0!</v>
      </c>
      <c r="G103" s="41" t="e">
        <f t="shared" si="14"/>
        <v>#DIV/0!</v>
      </c>
      <c r="H103" s="41" t="e">
        <f t="shared" si="8"/>
        <v>#DIV/0!</v>
      </c>
      <c r="I103" s="40" t="e">
        <f t="shared" si="9"/>
        <v>#DIV/0!</v>
      </c>
      <c r="J103" s="41" t="e">
        <f t="shared" si="10"/>
        <v>#DIV/0!</v>
      </c>
      <c r="K103" s="6" t="e">
        <f t="shared" si="11"/>
        <v>#DIV/0!</v>
      </c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</row>
    <row r="104" spans="1:36" x14ac:dyDescent="0.25">
      <c r="A104" s="6"/>
      <c r="B104" s="6"/>
      <c r="C104" s="6"/>
      <c r="D104" s="3">
        <v>6</v>
      </c>
      <c r="E104" s="7" t="e">
        <f t="shared" si="12"/>
        <v>#DIV/0!</v>
      </c>
      <c r="F104" s="40" t="e">
        <f t="shared" si="13"/>
        <v>#DIV/0!</v>
      </c>
      <c r="G104" s="41" t="e">
        <f t="shared" si="14"/>
        <v>#DIV/0!</v>
      </c>
      <c r="H104" s="41" t="e">
        <f t="shared" si="8"/>
        <v>#DIV/0!</v>
      </c>
      <c r="I104" s="40" t="e">
        <f t="shared" si="9"/>
        <v>#DIV/0!</v>
      </c>
      <c r="J104" s="41" t="e">
        <f t="shared" si="10"/>
        <v>#DIV/0!</v>
      </c>
      <c r="K104" s="6" t="e">
        <f t="shared" si="11"/>
        <v>#DIV/0!</v>
      </c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</row>
    <row r="105" spans="1:36" x14ac:dyDescent="0.25">
      <c r="A105" s="6"/>
      <c r="B105" s="6"/>
      <c r="C105" s="6"/>
      <c r="D105" s="3">
        <v>7</v>
      </c>
      <c r="E105" s="7" t="e">
        <f t="shared" si="12"/>
        <v>#DIV/0!</v>
      </c>
      <c r="F105" s="40" t="e">
        <f t="shared" si="13"/>
        <v>#DIV/0!</v>
      </c>
      <c r="G105" s="41" t="e">
        <f t="shared" si="14"/>
        <v>#DIV/0!</v>
      </c>
      <c r="H105" s="41" t="e">
        <f t="shared" si="8"/>
        <v>#DIV/0!</v>
      </c>
      <c r="I105" s="40" t="e">
        <f t="shared" si="9"/>
        <v>#DIV/0!</v>
      </c>
      <c r="J105" s="41" t="e">
        <f t="shared" si="10"/>
        <v>#DIV/0!</v>
      </c>
      <c r="K105" s="6" t="e">
        <f t="shared" si="11"/>
        <v>#DIV/0!</v>
      </c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</row>
    <row r="106" spans="1:36" x14ac:dyDescent="0.25">
      <c r="A106" s="6"/>
      <c r="B106" s="6"/>
      <c r="C106" s="6"/>
      <c r="D106" s="3">
        <v>8</v>
      </c>
      <c r="E106" s="7" t="e">
        <f t="shared" si="12"/>
        <v>#DIV/0!</v>
      </c>
      <c r="F106" s="40" t="e">
        <f t="shared" si="13"/>
        <v>#DIV/0!</v>
      </c>
      <c r="G106" s="41" t="e">
        <f t="shared" si="14"/>
        <v>#DIV/0!</v>
      </c>
      <c r="H106" s="41" t="e">
        <f t="shared" si="8"/>
        <v>#DIV/0!</v>
      </c>
      <c r="I106" s="40" t="e">
        <f t="shared" si="9"/>
        <v>#DIV/0!</v>
      </c>
      <c r="J106" s="41" t="e">
        <f t="shared" si="10"/>
        <v>#DIV/0!</v>
      </c>
      <c r="K106" s="6" t="e">
        <f t="shared" si="11"/>
        <v>#DIV/0!</v>
      </c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</row>
    <row r="107" spans="1:36" x14ac:dyDescent="0.25">
      <c r="A107" s="6"/>
      <c r="B107" s="6"/>
      <c r="C107" s="6"/>
      <c r="D107" s="3">
        <v>9</v>
      </c>
      <c r="E107" s="7" t="e">
        <f t="shared" si="12"/>
        <v>#DIV/0!</v>
      </c>
      <c r="F107" s="40" t="e">
        <f t="shared" si="13"/>
        <v>#DIV/0!</v>
      </c>
      <c r="G107" s="41" t="e">
        <f t="shared" si="14"/>
        <v>#DIV/0!</v>
      </c>
      <c r="H107" s="41" t="e">
        <f t="shared" si="8"/>
        <v>#DIV/0!</v>
      </c>
      <c r="I107" s="40" t="e">
        <f t="shared" si="9"/>
        <v>#DIV/0!</v>
      </c>
      <c r="J107" s="41" t="e">
        <f t="shared" si="10"/>
        <v>#DIV/0!</v>
      </c>
      <c r="K107" s="6" t="e">
        <f t="shared" si="11"/>
        <v>#DIV/0!</v>
      </c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</row>
    <row r="108" spans="1:36" x14ac:dyDescent="0.25">
      <c r="A108" s="6"/>
      <c r="B108" s="6"/>
      <c r="C108" s="6"/>
      <c r="D108" s="3">
        <v>10</v>
      </c>
      <c r="E108" s="7" t="e">
        <f t="shared" si="12"/>
        <v>#DIV/0!</v>
      </c>
      <c r="F108" s="40" t="e">
        <f t="shared" si="13"/>
        <v>#DIV/0!</v>
      </c>
      <c r="G108" s="41" t="e">
        <f t="shared" si="14"/>
        <v>#DIV/0!</v>
      </c>
      <c r="H108" s="41" t="e">
        <f t="shared" si="8"/>
        <v>#DIV/0!</v>
      </c>
      <c r="I108" s="40" t="e">
        <f t="shared" si="9"/>
        <v>#DIV/0!</v>
      </c>
      <c r="J108" s="41" t="e">
        <f t="shared" si="10"/>
        <v>#DIV/0!</v>
      </c>
      <c r="K108" s="6" t="e">
        <f t="shared" si="11"/>
        <v>#DIV/0!</v>
      </c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</row>
    <row r="109" spans="1:36" x14ac:dyDescent="0.25">
      <c r="A109" s="6"/>
      <c r="B109" s="6"/>
      <c r="C109" s="6"/>
      <c r="D109" s="3">
        <v>11</v>
      </c>
      <c r="E109" s="7" t="e">
        <f t="shared" si="12"/>
        <v>#DIV/0!</v>
      </c>
      <c r="F109" s="40" t="e">
        <f t="shared" si="13"/>
        <v>#DIV/0!</v>
      </c>
      <c r="G109" s="41" t="e">
        <f t="shared" si="14"/>
        <v>#DIV/0!</v>
      </c>
      <c r="H109" s="41" t="e">
        <f t="shared" si="8"/>
        <v>#DIV/0!</v>
      </c>
      <c r="I109" s="40" t="e">
        <f t="shared" si="9"/>
        <v>#DIV/0!</v>
      </c>
      <c r="J109" s="41" t="e">
        <f t="shared" si="10"/>
        <v>#DIV/0!</v>
      </c>
      <c r="K109" s="6" t="e">
        <f t="shared" si="11"/>
        <v>#DIV/0!</v>
      </c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</row>
    <row r="110" spans="1:36" x14ac:dyDescent="0.25">
      <c r="A110" s="6"/>
      <c r="B110" s="6"/>
      <c r="C110" s="6"/>
      <c r="D110" s="3">
        <v>12</v>
      </c>
      <c r="E110" s="7" t="e">
        <f t="shared" si="12"/>
        <v>#DIV/0!</v>
      </c>
      <c r="F110" s="40" t="e">
        <f t="shared" si="13"/>
        <v>#DIV/0!</v>
      </c>
      <c r="G110" s="41" t="e">
        <f t="shared" si="14"/>
        <v>#DIV/0!</v>
      </c>
      <c r="H110" s="41" t="e">
        <f t="shared" si="8"/>
        <v>#DIV/0!</v>
      </c>
      <c r="I110" s="40" t="e">
        <f t="shared" si="9"/>
        <v>#DIV/0!</v>
      </c>
      <c r="J110" s="41" t="e">
        <f t="shared" si="10"/>
        <v>#DIV/0!</v>
      </c>
      <c r="K110" s="6" t="e">
        <f t="shared" si="11"/>
        <v>#DIV/0!</v>
      </c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</row>
    <row r="111" spans="1:36" x14ac:dyDescent="0.25">
      <c r="A111" s="6"/>
      <c r="B111" s="6"/>
      <c r="C111" s="6"/>
      <c r="D111" s="3">
        <v>13</v>
      </c>
      <c r="E111" s="7" t="e">
        <f t="shared" si="12"/>
        <v>#DIV/0!</v>
      </c>
      <c r="F111" s="40" t="e">
        <f t="shared" si="13"/>
        <v>#DIV/0!</v>
      </c>
      <c r="G111" s="41" t="e">
        <f t="shared" si="14"/>
        <v>#DIV/0!</v>
      </c>
      <c r="H111" s="41" t="e">
        <f t="shared" si="8"/>
        <v>#DIV/0!</v>
      </c>
      <c r="I111" s="40" t="e">
        <f t="shared" si="9"/>
        <v>#DIV/0!</v>
      </c>
      <c r="J111" s="41" t="e">
        <f t="shared" si="10"/>
        <v>#DIV/0!</v>
      </c>
      <c r="K111" s="6" t="e">
        <f t="shared" si="11"/>
        <v>#DIV/0!</v>
      </c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</row>
    <row r="112" spans="1:36" x14ac:dyDescent="0.25">
      <c r="A112" s="6"/>
      <c r="B112" s="6"/>
      <c r="C112" s="6"/>
      <c r="D112" s="3">
        <v>14</v>
      </c>
      <c r="E112" s="7" t="e">
        <f t="shared" si="12"/>
        <v>#DIV/0!</v>
      </c>
      <c r="F112" s="40" t="e">
        <f t="shared" si="13"/>
        <v>#DIV/0!</v>
      </c>
      <c r="G112" s="41" t="e">
        <f t="shared" si="14"/>
        <v>#DIV/0!</v>
      </c>
      <c r="H112" s="41" t="e">
        <f t="shared" si="8"/>
        <v>#DIV/0!</v>
      </c>
      <c r="I112" s="40" t="e">
        <f t="shared" si="9"/>
        <v>#DIV/0!</v>
      </c>
      <c r="J112" s="41" t="e">
        <f t="shared" si="10"/>
        <v>#DIV/0!</v>
      </c>
      <c r="K112" s="6" t="e">
        <f t="shared" si="11"/>
        <v>#DIV/0!</v>
      </c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</row>
    <row r="113" spans="1:36" x14ac:dyDescent="0.25">
      <c r="A113" s="6"/>
      <c r="B113" s="6"/>
      <c r="C113" s="6"/>
      <c r="D113" s="3">
        <v>15</v>
      </c>
      <c r="E113" s="7" t="e">
        <f t="shared" si="12"/>
        <v>#DIV/0!</v>
      </c>
      <c r="F113" s="40" t="e">
        <f t="shared" si="13"/>
        <v>#DIV/0!</v>
      </c>
      <c r="G113" s="42" t="e">
        <f t="shared" si="14"/>
        <v>#DIV/0!</v>
      </c>
      <c r="H113" s="42" t="e">
        <f t="shared" si="8"/>
        <v>#DIV/0!</v>
      </c>
      <c r="I113" s="40" t="e">
        <f t="shared" si="9"/>
        <v>#DIV/0!</v>
      </c>
      <c r="J113" s="41" t="e">
        <f t="shared" si="10"/>
        <v>#DIV/0!</v>
      </c>
      <c r="K113" s="6" t="e">
        <f t="shared" si="11"/>
        <v>#DIV/0!</v>
      </c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</row>
    <row r="114" spans="1:36" x14ac:dyDescent="0.25">
      <c r="A114" s="6"/>
      <c r="B114" s="6"/>
      <c r="C114" s="6"/>
      <c r="D114" s="3">
        <v>16</v>
      </c>
      <c r="E114" s="7" t="e">
        <f t="shared" si="12"/>
        <v>#DIV/0!</v>
      </c>
      <c r="F114" s="40" t="e">
        <f t="shared" si="13"/>
        <v>#DIV/0!</v>
      </c>
      <c r="G114" s="42" t="e">
        <f t="shared" si="14"/>
        <v>#DIV/0!</v>
      </c>
      <c r="H114" s="42" t="e">
        <f t="shared" si="8"/>
        <v>#DIV/0!</v>
      </c>
      <c r="I114" s="40" t="e">
        <f t="shared" si="9"/>
        <v>#DIV/0!</v>
      </c>
      <c r="J114" s="41" t="e">
        <f t="shared" si="10"/>
        <v>#DIV/0!</v>
      </c>
      <c r="K114" s="6" t="e">
        <f t="shared" si="11"/>
        <v>#DIV/0!</v>
      </c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</row>
    <row r="115" spans="1:36" x14ac:dyDescent="0.25">
      <c r="A115" s="6"/>
      <c r="B115" s="6"/>
      <c r="C115" s="6"/>
      <c r="D115" s="3">
        <v>17</v>
      </c>
      <c r="E115" s="7" t="e">
        <f t="shared" si="12"/>
        <v>#DIV/0!</v>
      </c>
      <c r="F115" s="40" t="e">
        <f t="shared" si="13"/>
        <v>#DIV/0!</v>
      </c>
      <c r="G115" s="42" t="e">
        <f t="shared" si="14"/>
        <v>#DIV/0!</v>
      </c>
      <c r="H115" s="42" t="e">
        <f t="shared" si="8"/>
        <v>#DIV/0!</v>
      </c>
      <c r="I115" s="40" t="e">
        <f t="shared" si="9"/>
        <v>#DIV/0!</v>
      </c>
      <c r="J115" s="41" t="e">
        <f t="shared" si="10"/>
        <v>#DIV/0!</v>
      </c>
      <c r="K115" s="6" t="e">
        <f t="shared" si="11"/>
        <v>#DIV/0!</v>
      </c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</row>
    <row r="116" spans="1:36" x14ac:dyDescent="0.25">
      <c r="A116" s="6"/>
      <c r="B116" s="6"/>
      <c r="C116" s="6"/>
      <c r="D116" s="3">
        <v>18</v>
      </c>
      <c r="E116" s="7" t="e">
        <f t="shared" si="12"/>
        <v>#DIV/0!</v>
      </c>
      <c r="F116" s="40" t="e">
        <f t="shared" si="13"/>
        <v>#DIV/0!</v>
      </c>
      <c r="G116" s="42" t="e">
        <f t="shared" si="14"/>
        <v>#DIV/0!</v>
      </c>
      <c r="H116" s="42" t="e">
        <f t="shared" si="8"/>
        <v>#DIV/0!</v>
      </c>
      <c r="I116" s="40" t="e">
        <f t="shared" si="9"/>
        <v>#DIV/0!</v>
      </c>
      <c r="J116" s="41" t="e">
        <f t="shared" si="10"/>
        <v>#DIV/0!</v>
      </c>
      <c r="K116" s="6" t="e">
        <f t="shared" si="11"/>
        <v>#DIV/0!</v>
      </c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</row>
    <row r="117" spans="1:36" x14ac:dyDescent="0.25">
      <c r="A117" s="6"/>
      <c r="B117" s="6"/>
      <c r="C117" s="6"/>
      <c r="D117" s="3">
        <v>19</v>
      </c>
      <c r="E117" s="7" t="e">
        <f t="shared" si="12"/>
        <v>#DIV/0!</v>
      </c>
      <c r="F117" s="40" t="e">
        <f t="shared" si="13"/>
        <v>#DIV/0!</v>
      </c>
      <c r="G117" s="42" t="e">
        <f t="shared" si="14"/>
        <v>#DIV/0!</v>
      </c>
      <c r="H117" s="42" t="e">
        <f t="shared" si="8"/>
        <v>#DIV/0!</v>
      </c>
      <c r="I117" s="40" t="e">
        <f t="shared" si="9"/>
        <v>#DIV/0!</v>
      </c>
      <c r="J117" s="41" t="e">
        <f t="shared" si="10"/>
        <v>#DIV/0!</v>
      </c>
      <c r="K117" s="6" t="e">
        <f t="shared" si="11"/>
        <v>#DIV/0!</v>
      </c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</row>
    <row r="118" spans="1:36" x14ac:dyDescent="0.25">
      <c r="A118" s="6"/>
      <c r="B118" s="6"/>
      <c r="C118" s="6"/>
      <c r="D118" s="3">
        <v>20</v>
      </c>
      <c r="E118" s="7" t="e">
        <f t="shared" si="12"/>
        <v>#DIV/0!</v>
      </c>
      <c r="F118" s="40" t="e">
        <f t="shared" si="13"/>
        <v>#DIV/0!</v>
      </c>
      <c r="G118" s="42" t="e">
        <f t="shared" si="14"/>
        <v>#DIV/0!</v>
      </c>
      <c r="H118" s="42" t="e">
        <f t="shared" si="8"/>
        <v>#DIV/0!</v>
      </c>
      <c r="I118" s="40" t="e">
        <f t="shared" si="9"/>
        <v>#DIV/0!</v>
      </c>
      <c r="J118" s="41" t="e">
        <f t="shared" si="10"/>
        <v>#DIV/0!</v>
      </c>
      <c r="K118" s="6" t="e">
        <f t="shared" si="11"/>
        <v>#DIV/0!</v>
      </c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</row>
    <row r="119" spans="1:36" x14ac:dyDescent="0.25">
      <c r="A119" s="6"/>
      <c r="B119" s="6"/>
      <c r="C119" s="6"/>
      <c r="D119" s="3">
        <v>21</v>
      </c>
      <c r="E119" s="7" t="e">
        <f t="shared" si="12"/>
        <v>#DIV/0!</v>
      </c>
      <c r="F119" s="40" t="e">
        <f t="shared" si="13"/>
        <v>#DIV/0!</v>
      </c>
      <c r="G119" s="42" t="e">
        <f t="shared" si="14"/>
        <v>#DIV/0!</v>
      </c>
      <c r="H119" s="42" t="e">
        <f t="shared" si="8"/>
        <v>#DIV/0!</v>
      </c>
      <c r="I119" s="40" t="e">
        <f t="shared" si="9"/>
        <v>#DIV/0!</v>
      </c>
      <c r="J119" s="41" t="e">
        <f t="shared" si="10"/>
        <v>#DIV/0!</v>
      </c>
      <c r="K119" s="6" t="e">
        <f t="shared" si="11"/>
        <v>#DIV/0!</v>
      </c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</row>
    <row r="120" spans="1:36" x14ac:dyDescent="0.25">
      <c r="A120" s="6"/>
      <c r="B120" s="6"/>
      <c r="C120" s="6"/>
      <c r="D120" s="3">
        <v>22</v>
      </c>
      <c r="E120" s="7" t="e">
        <f t="shared" si="12"/>
        <v>#DIV/0!</v>
      </c>
      <c r="F120" s="40" t="e">
        <f t="shared" si="13"/>
        <v>#DIV/0!</v>
      </c>
      <c r="G120" s="42" t="e">
        <f t="shared" si="14"/>
        <v>#DIV/0!</v>
      </c>
      <c r="H120" s="42" t="e">
        <f t="shared" si="8"/>
        <v>#DIV/0!</v>
      </c>
      <c r="I120" s="40" t="e">
        <f t="shared" si="9"/>
        <v>#DIV/0!</v>
      </c>
      <c r="J120" s="41" t="e">
        <f t="shared" si="10"/>
        <v>#DIV/0!</v>
      </c>
      <c r="K120" s="6" t="e">
        <f t="shared" si="11"/>
        <v>#DIV/0!</v>
      </c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</row>
    <row r="121" spans="1:36" x14ac:dyDescent="0.25">
      <c r="A121" s="6"/>
      <c r="B121" s="6"/>
      <c r="C121" s="6"/>
      <c r="D121" s="3">
        <v>23</v>
      </c>
      <c r="E121" s="7" t="e">
        <f t="shared" si="12"/>
        <v>#DIV/0!</v>
      </c>
      <c r="F121" s="40" t="e">
        <f t="shared" si="13"/>
        <v>#DIV/0!</v>
      </c>
      <c r="G121" s="42" t="e">
        <f t="shared" si="14"/>
        <v>#DIV/0!</v>
      </c>
      <c r="H121" s="42" t="e">
        <f t="shared" si="8"/>
        <v>#DIV/0!</v>
      </c>
      <c r="I121" s="40" t="e">
        <f t="shared" si="9"/>
        <v>#DIV/0!</v>
      </c>
      <c r="J121" s="41" t="e">
        <f t="shared" si="10"/>
        <v>#DIV/0!</v>
      </c>
      <c r="K121" s="6" t="e">
        <f t="shared" si="11"/>
        <v>#DIV/0!</v>
      </c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</row>
    <row r="122" spans="1:36" x14ac:dyDescent="0.25">
      <c r="A122" s="6"/>
      <c r="B122" s="6"/>
      <c r="C122" s="6"/>
      <c r="D122" s="3">
        <v>24</v>
      </c>
      <c r="E122" s="7" t="e">
        <f t="shared" si="12"/>
        <v>#DIV/0!</v>
      </c>
      <c r="F122" s="40" t="e">
        <f t="shared" si="13"/>
        <v>#DIV/0!</v>
      </c>
      <c r="G122" s="42" t="e">
        <f t="shared" si="14"/>
        <v>#DIV/0!</v>
      </c>
      <c r="H122" s="42" t="e">
        <f t="shared" si="8"/>
        <v>#DIV/0!</v>
      </c>
      <c r="I122" s="40" t="e">
        <f t="shared" si="9"/>
        <v>#DIV/0!</v>
      </c>
      <c r="J122" s="41" t="e">
        <f t="shared" si="10"/>
        <v>#DIV/0!</v>
      </c>
      <c r="K122" s="6" t="e">
        <f t="shared" si="11"/>
        <v>#DIV/0!</v>
      </c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</row>
    <row r="123" spans="1:36" x14ac:dyDescent="0.25">
      <c r="A123" s="6"/>
      <c r="B123" s="6"/>
      <c r="C123" s="6"/>
      <c r="D123" s="3">
        <v>25</v>
      </c>
      <c r="E123" s="7" t="e">
        <f t="shared" si="12"/>
        <v>#DIV/0!</v>
      </c>
      <c r="F123" s="40" t="e">
        <f t="shared" si="13"/>
        <v>#DIV/0!</v>
      </c>
      <c r="G123" s="42" t="e">
        <f t="shared" si="14"/>
        <v>#DIV/0!</v>
      </c>
      <c r="H123" s="42" t="e">
        <f t="shared" si="8"/>
        <v>#DIV/0!</v>
      </c>
      <c r="I123" s="40" t="e">
        <f t="shared" si="9"/>
        <v>#DIV/0!</v>
      </c>
      <c r="J123" s="41" t="e">
        <f t="shared" si="10"/>
        <v>#DIV/0!</v>
      </c>
      <c r="K123" s="6" t="e">
        <f t="shared" si="11"/>
        <v>#DIV/0!</v>
      </c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</row>
    <row r="124" spans="1:36" x14ac:dyDescent="0.25">
      <c r="A124" s="6"/>
      <c r="B124" s="6"/>
      <c r="C124" s="6"/>
      <c r="D124" s="3">
        <v>26</v>
      </c>
      <c r="E124" s="7" t="e">
        <f t="shared" si="12"/>
        <v>#DIV/0!</v>
      </c>
      <c r="F124" s="40" t="e">
        <f t="shared" si="13"/>
        <v>#DIV/0!</v>
      </c>
      <c r="G124" s="42" t="e">
        <f t="shared" si="14"/>
        <v>#DIV/0!</v>
      </c>
      <c r="H124" s="42" t="e">
        <f t="shared" si="8"/>
        <v>#DIV/0!</v>
      </c>
      <c r="I124" s="40" t="e">
        <f t="shared" si="9"/>
        <v>#DIV/0!</v>
      </c>
      <c r="J124" s="41" t="e">
        <f t="shared" si="10"/>
        <v>#DIV/0!</v>
      </c>
      <c r="K124" s="6" t="e">
        <f t="shared" si="11"/>
        <v>#DIV/0!</v>
      </c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</row>
    <row r="125" spans="1:36" x14ac:dyDescent="0.25">
      <c r="A125" s="6"/>
      <c r="B125" s="6"/>
      <c r="C125" s="6"/>
      <c r="D125" s="3">
        <v>27</v>
      </c>
      <c r="E125" s="7" t="e">
        <f t="shared" si="12"/>
        <v>#DIV/0!</v>
      </c>
      <c r="F125" s="40" t="e">
        <f t="shared" si="13"/>
        <v>#DIV/0!</v>
      </c>
      <c r="G125" s="42" t="e">
        <f t="shared" si="14"/>
        <v>#DIV/0!</v>
      </c>
      <c r="H125" s="42" t="e">
        <f t="shared" si="8"/>
        <v>#DIV/0!</v>
      </c>
      <c r="I125" s="40" t="e">
        <f t="shared" si="9"/>
        <v>#DIV/0!</v>
      </c>
      <c r="J125" s="41" t="e">
        <f t="shared" si="10"/>
        <v>#DIV/0!</v>
      </c>
      <c r="K125" s="6" t="e">
        <f t="shared" si="11"/>
        <v>#DIV/0!</v>
      </c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</row>
    <row r="126" spans="1:36" x14ac:dyDescent="0.25">
      <c r="A126" s="6"/>
      <c r="B126" s="6"/>
      <c r="C126" s="6"/>
      <c r="D126" s="3">
        <v>28</v>
      </c>
      <c r="E126" s="7" t="e">
        <f t="shared" si="12"/>
        <v>#DIV/0!</v>
      </c>
      <c r="F126" s="40" t="e">
        <f t="shared" si="13"/>
        <v>#DIV/0!</v>
      </c>
      <c r="G126" s="42" t="e">
        <f t="shared" si="14"/>
        <v>#DIV/0!</v>
      </c>
      <c r="H126" s="42" t="e">
        <f t="shared" si="8"/>
        <v>#DIV/0!</v>
      </c>
      <c r="I126" s="40" t="e">
        <f t="shared" si="9"/>
        <v>#DIV/0!</v>
      </c>
      <c r="J126" s="41" t="e">
        <f t="shared" si="10"/>
        <v>#DIV/0!</v>
      </c>
      <c r="K126" s="6" t="e">
        <f t="shared" si="11"/>
        <v>#DIV/0!</v>
      </c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</row>
    <row r="127" spans="1:36" x14ac:dyDescent="0.25">
      <c r="A127" s="6"/>
      <c r="B127" s="6"/>
      <c r="C127" s="6"/>
      <c r="D127" s="3">
        <v>29</v>
      </c>
      <c r="E127" s="7" t="e">
        <f t="shared" si="12"/>
        <v>#DIV/0!</v>
      </c>
      <c r="F127" s="40" t="e">
        <f t="shared" si="13"/>
        <v>#DIV/0!</v>
      </c>
      <c r="G127" s="42" t="e">
        <f t="shared" si="14"/>
        <v>#DIV/0!</v>
      </c>
      <c r="H127" s="42" t="e">
        <f t="shared" si="8"/>
        <v>#DIV/0!</v>
      </c>
      <c r="I127" s="40" t="e">
        <f t="shared" si="9"/>
        <v>#DIV/0!</v>
      </c>
      <c r="J127" s="41" t="e">
        <f t="shared" si="10"/>
        <v>#DIV/0!</v>
      </c>
      <c r="K127" s="6" t="e">
        <f t="shared" si="11"/>
        <v>#DIV/0!</v>
      </c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</row>
    <row r="128" spans="1:36" x14ac:dyDescent="0.25">
      <c r="A128" s="6"/>
      <c r="B128" s="6"/>
      <c r="C128" s="6"/>
      <c r="D128" s="3">
        <v>30</v>
      </c>
      <c r="E128" s="7" t="e">
        <f t="shared" si="12"/>
        <v>#DIV/0!</v>
      </c>
      <c r="F128" s="40" t="e">
        <f t="shared" si="13"/>
        <v>#DIV/0!</v>
      </c>
      <c r="G128" s="42" t="e">
        <f t="shared" si="14"/>
        <v>#DIV/0!</v>
      </c>
      <c r="H128" s="42" t="e">
        <f t="shared" si="8"/>
        <v>#DIV/0!</v>
      </c>
      <c r="I128" s="40" t="e">
        <f t="shared" si="9"/>
        <v>#DIV/0!</v>
      </c>
      <c r="J128" s="41" t="e">
        <f t="shared" si="10"/>
        <v>#DIV/0!</v>
      </c>
      <c r="K128" s="6" t="e">
        <f t="shared" si="11"/>
        <v>#DIV/0!</v>
      </c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</row>
    <row r="129" spans="1:36" x14ac:dyDescent="0.25">
      <c r="A129" s="6"/>
      <c r="B129" s="6"/>
      <c r="C129" s="6"/>
      <c r="D129" s="3"/>
      <c r="E129" s="6"/>
      <c r="F129" s="6"/>
      <c r="G129" s="43"/>
      <c r="H129" s="43"/>
      <c r="I129" s="6"/>
      <c r="J129" s="4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</row>
    <row r="130" spans="1:36" x14ac:dyDescent="0.25">
      <c r="A130" s="6"/>
      <c r="B130" s="6"/>
      <c r="C130" s="6"/>
      <c r="D130" s="3"/>
      <c r="E130" s="6"/>
      <c r="F130" s="6"/>
      <c r="G130" s="43"/>
      <c r="H130" s="43"/>
      <c r="I130" s="6"/>
      <c r="J130" s="4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</row>
    <row r="131" spans="1:36" x14ac:dyDescent="0.25">
      <c r="A131" s="6"/>
      <c r="B131" s="6"/>
      <c r="C131" s="6"/>
      <c r="D131" s="3"/>
      <c r="E131" s="6"/>
      <c r="F131" s="6"/>
      <c r="G131" s="43"/>
      <c r="H131" s="43"/>
      <c r="I131" s="6"/>
      <c r="J131" s="4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</row>
    <row r="132" spans="1:36" x14ac:dyDescent="0.25">
      <c r="A132" s="6"/>
      <c r="B132" s="6"/>
      <c r="C132" s="6"/>
      <c r="D132" s="3"/>
      <c r="E132" s="6"/>
      <c r="F132" s="6"/>
      <c r="G132" s="43"/>
      <c r="H132" s="43"/>
      <c r="I132" s="6"/>
      <c r="J132" s="4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</row>
    <row r="133" spans="1:36" x14ac:dyDescent="0.25">
      <c r="A133" s="6"/>
      <c r="B133" s="6"/>
      <c r="C133" s="6"/>
      <c r="D133" s="3"/>
      <c r="E133" s="6"/>
      <c r="F133" s="6"/>
      <c r="G133" s="43"/>
      <c r="H133" s="43"/>
      <c r="I133" s="6"/>
      <c r="J133" s="4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</row>
    <row r="134" spans="1:36" x14ac:dyDescent="0.25">
      <c r="A134" s="6"/>
      <c r="B134" s="6"/>
      <c r="C134" s="6"/>
      <c r="D134" s="3"/>
      <c r="E134" s="6"/>
      <c r="F134" s="6"/>
      <c r="G134" s="43"/>
      <c r="H134" s="43"/>
      <c r="I134" s="6"/>
      <c r="J134" s="4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</row>
    <row r="135" spans="1:36" x14ac:dyDescent="0.25">
      <c r="A135" s="6"/>
      <c r="B135" s="6"/>
      <c r="C135" s="6"/>
      <c r="D135" s="3"/>
      <c r="E135" s="6"/>
      <c r="F135" s="6"/>
      <c r="G135" s="43"/>
      <c r="H135" s="43"/>
      <c r="I135" s="6"/>
      <c r="J135" s="4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</row>
    <row r="136" spans="1:36" x14ac:dyDescent="0.25">
      <c r="A136" s="6"/>
      <c r="B136" s="6"/>
      <c r="C136" s="6"/>
      <c r="D136" s="3"/>
      <c r="E136" s="6"/>
      <c r="F136" s="6"/>
      <c r="G136" s="43"/>
      <c r="H136" s="43"/>
      <c r="I136" s="6"/>
      <c r="J136" s="4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</row>
    <row r="137" spans="1:36" x14ac:dyDescent="0.25">
      <c r="A137" s="6"/>
      <c r="B137" s="6"/>
      <c r="C137" s="6"/>
      <c r="D137" s="3"/>
      <c r="E137" s="6"/>
      <c r="F137" s="6"/>
      <c r="G137" s="43"/>
      <c r="H137" s="43"/>
      <c r="I137" s="6"/>
      <c r="J137" s="4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</row>
    <row r="138" spans="1:36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</row>
    <row r="139" spans="1:36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</row>
    <row r="140" spans="1:36" x14ac:dyDescent="0.25">
      <c r="A140" s="6"/>
      <c r="B140" s="6"/>
      <c r="C140" s="6"/>
      <c r="D140" s="6"/>
      <c r="E140" s="6" t="s">
        <v>54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</row>
    <row r="141" spans="1:36" x14ac:dyDescent="0.25">
      <c r="A141" s="6"/>
      <c r="B141" s="6"/>
      <c r="C141" s="6"/>
      <c r="D141" s="6"/>
      <c r="E141" s="6"/>
      <c r="F141" s="28" t="s">
        <v>55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</row>
    <row r="142" spans="1:36" x14ac:dyDescent="0.25">
      <c r="A142" s="6"/>
      <c r="B142" s="6"/>
      <c r="C142" s="6"/>
      <c r="D142" s="6"/>
      <c r="E142" s="6"/>
      <c r="F142" s="28" t="s">
        <v>56</v>
      </c>
      <c r="G142" s="6" t="e">
        <f>E123</f>
        <v>#DIV/0!</v>
      </c>
      <c r="H142" s="6" t="s">
        <v>57</v>
      </c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</row>
    <row r="143" spans="1:36" x14ac:dyDescent="0.25">
      <c r="A143" s="6"/>
      <c r="B143" s="6"/>
      <c r="C143" s="6"/>
      <c r="D143" s="6"/>
      <c r="E143" s="6"/>
      <c r="F143" s="28" t="s">
        <v>58</v>
      </c>
      <c r="G143" s="45" t="e">
        <f>$I$69*(G142^4)+$I$70*(G142^3)+$I$71*(G142^2)+$I$72*(G142)+$I$73</f>
        <v>#DIV/0!</v>
      </c>
      <c r="H143" s="6" t="s">
        <v>59</v>
      </c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</row>
    <row r="144" spans="1:36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</row>
    <row r="145" spans="1:36" x14ac:dyDescent="0.25">
      <c r="A145" s="6"/>
      <c r="B145" s="6"/>
      <c r="C145" s="6"/>
      <c r="D145" s="6"/>
      <c r="E145" s="6" t="s">
        <v>60</v>
      </c>
      <c r="F145" s="6"/>
      <c r="G145" s="6"/>
      <c r="H145" s="6" t="s">
        <v>61</v>
      </c>
      <c r="I145" s="6"/>
      <c r="J145" s="6"/>
      <c r="K145" s="6" t="s">
        <v>62</v>
      </c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</row>
    <row r="146" spans="1:36" x14ac:dyDescent="0.25">
      <c r="A146" s="6"/>
      <c r="B146" s="6"/>
      <c r="C146" s="6"/>
      <c r="D146" s="6"/>
      <c r="E146" s="29" t="s">
        <v>15</v>
      </c>
      <c r="F146" s="30" t="s">
        <v>63</v>
      </c>
      <c r="G146" s="6"/>
      <c r="H146" s="29" t="s">
        <v>15</v>
      </c>
      <c r="I146" s="30" t="s">
        <v>63</v>
      </c>
      <c r="J146" s="6"/>
      <c r="K146" s="29" t="s">
        <v>15</v>
      </c>
      <c r="L146" s="30" t="s">
        <v>63</v>
      </c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</row>
    <row r="147" spans="1:36" x14ac:dyDescent="0.25">
      <c r="A147" s="6"/>
      <c r="B147" s="6"/>
      <c r="C147" s="6"/>
      <c r="D147" s="6"/>
      <c r="E147" s="6" t="e">
        <f>$G$142</f>
        <v>#DIV/0!</v>
      </c>
      <c r="F147" s="8">
        <v>0</v>
      </c>
      <c r="G147" s="6"/>
      <c r="H147" s="6" t="e">
        <f>K147-0.8</f>
        <v>#DIV/0!</v>
      </c>
      <c r="I147" s="46" t="e">
        <f>$G$143</f>
        <v>#DIV/0!</v>
      </c>
      <c r="J147" s="6"/>
      <c r="K147" s="6" t="e">
        <f>D13</f>
        <v>#DIV/0!</v>
      </c>
      <c r="L147" s="47" t="e">
        <f>D14</f>
        <v>#DIV/0!</v>
      </c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</row>
    <row r="148" spans="1:36" x14ac:dyDescent="0.25">
      <c r="A148" s="6"/>
      <c r="B148" s="6"/>
      <c r="C148" s="6"/>
      <c r="D148" s="6"/>
      <c r="E148" s="6" t="e">
        <f>$G$142</f>
        <v>#DIV/0!</v>
      </c>
      <c r="F148" s="8" t="e">
        <f>(F147+F149)/2</f>
        <v>#DIV/0!</v>
      </c>
      <c r="G148" s="6"/>
      <c r="H148" s="6" t="e">
        <f>(H149+H147)/2</f>
        <v>#DIV/0!</v>
      </c>
      <c r="I148" s="46" t="e">
        <f>$G$143</f>
        <v>#DIV/0!</v>
      </c>
      <c r="J148" s="6"/>
      <c r="K148" s="6" t="e">
        <f>E13</f>
        <v>#DIV/0!</v>
      </c>
      <c r="L148" s="6" t="e">
        <f>E14</f>
        <v>#DIV/0!</v>
      </c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</row>
    <row r="149" spans="1:36" x14ac:dyDescent="0.25">
      <c r="A149" s="6"/>
      <c r="B149" s="6"/>
      <c r="C149" s="6"/>
      <c r="D149" s="6"/>
      <c r="E149" s="6" t="e">
        <f>$G$142</f>
        <v>#DIV/0!</v>
      </c>
      <c r="F149" s="8" t="e">
        <f>(F151+F147)/2</f>
        <v>#DIV/0!</v>
      </c>
      <c r="G149" s="6"/>
      <c r="H149" s="6" t="e">
        <f>(H151+H147)/2</f>
        <v>#DIV/0!</v>
      </c>
      <c r="I149" s="46" t="e">
        <f>$G$143</f>
        <v>#DIV/0!</v>
      </c>
      <c r="J149" s="6"/>
      <c r="K149" s="6" t="e">
        <f>F13</f>
        <v>#DIV/0!</v>
      </c>
      <c r="L149" s="6" t="e">
        <f>F14</f>
        <v>#DIV/0!</v>
      </c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</row>
    <row r="150" spans="1:36" x14ac:dyDescent="0.25">
      <c r="A150" s="6"/>
      <c r="B150" s="6"/>
      <c r="C150" s="6"/>
      <c r="D150" s="6"/>
      <c r="E150" s="6" t="e">
        <f>$G$142</f>
        <v>#DIV/0!</v>
      </c>
      <c r="F150" s="8" t="e">
        <f>(F151+F149)/2</f>
        <v>#DIV/0!</v>
      </c>
      <c r="G150" s="6"/>
      <c r="H150" s="6" t="e">
        <f>(H151+H149)/2</f>
        <v>#DIV/0!</v>
      </c>
      <c r="I150" s="46" t="e">
        <f>$G$143</f>
        <v>#DIV/0!</v>
      </c>
      <c r="J150" s="6"/>
      <c r="K150" s="6" t="e">
        <f>G13</f>
        <v>#DIV/0!</v>
      </c>
      <c r="L150" s="6" t="e">
        <f>G14</f>
        <v>#DIV/0!</v>
      </c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</row>
    <row r="151" spans="1:36" x14ac:dyDescent="0.25">
      <c r="A151" s="6"/>
      <c r="B151" s="6"/>
      <c r="C151" s="6"/>
      <c r="D151" s="6"/>
      <c r="E151" s="6" t="e">
        <f>$G$142</f>
        <v>#DIV/0!</v>
      </c>
      <c r="F151" s="8" t="e">
        <f>$I$69*(E151^4)+$I$70*(E151^3)+$I$71*(E151^2)+$I$72*(E151)+$I$73</f>
        <v>#DIV/0!</v>
      </c>
      <c r="G151" s="6"/>
      <c r="H151" s="6" t="e">
        <f>G142</f>
        <v>#DIV/0!</v>
      </c>
      <c r="I151" s="46" t="e">
        <f>$G$143</f>
        <v>#DIV/0!</v>
      </c>
      <c r="J151" s="6"/>
      <c r="K151" s="6" t="e">
        <f>H13</f>
        <v>#REF!</v>
      </c>
      <c r="L151" s="6" t="e">
        <f>H14</f>
        <v>#REF!</v>
      </c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</row>
    <row r="152" spans="1:36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</row>
    <row r="153" spans="1:36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</row>
    <row r="154" spans="1:36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</row>
    <row r="155" spans="1:36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</row>
    <row r="156" spans="1:36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</row>
    <row r="157" spans="1:36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</row>
    <row r="158" spans="1:36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</row>
    <row r="159" spans="1:36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</row>
    <row r="160" spans="1:36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</row>
    <row r="161" spans="1:36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</row>
    <row r="162" spans="1:36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</row>
    <row r="163" spans="1:36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</row>
    <row r="164" spans="1:36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</row>
    <row r="165" spans="1:36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</row>
    <row r="166" spans="1:36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</row>
    <row r="167" spans="1:36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</row>
    <row r="168" spans="1:36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</row>
    <row r="169" spans="1:36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</row>
    <row r="170" spans="1:36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</row>
    <row r="171" spans="1:36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</row>
    <row r="172" spans="1:36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</row>
    <row r="173" spans="1:36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</row>
    <row r="174" spans="1:36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</row>
  </sheetData>
  <phoneticPr fontId="0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3</vt:i4>
      </vt:variant>
    </vt:vector>
  </HeadingPairs>
  <TitlesOfParts>
    <vt:vector size="6" baseType="lpstr">
      <vt:lpstr>DENS</vt:lpstr>
      <vt:lpstr>CBR</vt:lpstr>
      <vt:lpstr>Calc</vt:lpstr>
      <vt:lpstr>CBR!Area_de_impressao</vt:lpstr>
      <vt:lpstr>DENS!Area_de_impressao</vt:lpstr>
      <vt:lpstr>DENS!DENS_MAX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Antônio Fernandes Machado</dc:creator>
  <cp:lastModifiedBy>Jair Correia</cp:lastModifiedBy>
  <cp:lastPrinted>2026-07-06T21:56:44Z</cp:lastPrinted>
  <dcterms:created xsi:type="dcterms:W3CDTF">2000-10-06T15:01:37Z</dcterms:created>
  <dcterms:modified xsi:type="dcterms:W3CDTF">2026-07-08T22:56:17Z</dcterms:modified>
</cp:coreProperties>
</file>